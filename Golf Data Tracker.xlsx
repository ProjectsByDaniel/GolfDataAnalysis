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hidePivotFieldList="1" defaultThemeVersion="166925"/>
  <xr:revisionPtr revIDLastSave="0" documentId="8_{E683141F-2EDA-4EEA-8B1D-6FA15F453998}" xr6:coauthVersionLast="47" xr6:coauthVersionMax="47" xr10:uidLastSave="{00000000-0000-0000-0000-000000000000}"/>
  <bookViews>
    <workbookView xWindow="240" yWindow="105" windowWidth="14805" windowHeight="8010" firstSheet="3" xr2:uid="{00000000-000D-0000-FFFF-FFFF00000000}"/>
  </bookViews>
  <sheets>
    <sheet name="Dashboard" sheetId="1" r:id="rId1"/>
    <sheet name="Pivot Table Average Put" sheetId="5" r:id="rId2"/>
    <sheet name="Score VS Par" sheetId="6" r:id="rId3"/>
    <sheet name="Avg Score Each Hole" sheetId="7" r:id="rId4"/>
    <sheet name="Score Sheet" sheetId="2" r:id="rId5"/>
    <sheet name="Course Table" sheetId="3" r:id="rId6"/>
  </sheets>
  <calcPr calcId="191028"/>
  <pivotCaches>
    <pivotCache cacheId="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B22" i="7"/>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A75" i="2"/>
  <c r="A76" i="2" s="1"/>
  <c r="A77" i="2" s="1"/>
  <c r="A78" i="2" s="1"/>
  <c r="A79" i="2" s="1"/>
  <c r="A80" i="2" s="1"/>
  <c r="A81" i="2" s="1"/>
  <c r="A82" i="2" s="1"/>
  <c r="A83" i="2" s="1"/>
  <c r="A84" i="2" s="1"/>
  <c r="A85" i="2" s="1"/>
  <c r="A86" i="2" s="1"/>
  <c r="A87" i="2" s="1"/>
  <c r="A88" i="2" s="1"/>
  <c r="A89" i="2" s="1"/>
  <c r="A90" i="2" s="1"/>
  <c r="A91" i="2" s="1"/>
  <c r="C91" i="2"/>
  <c r="D91" i="2"/>
  <c r="E91" i="2"/>
  <c r="C90" i="2"/>
  <c r="D90" i="2"/>
  <c r="E90" i="2"/>
  <c r="C89" i="2"/>
  <c r="D89" i="2"/>
  <c r="E89" i="2"/>
  <c r="C88" i="2"/>
  <c r="D88" i="2"/>
  <c r="E88" i="2"/>
  <c r="C87" i="2"/>
  <c r="D87" i="2"/>
  <c r="E87" i="2"/>
  <c r="C86" i="2"/>
  <c r="D86" i="2"/>
  <c r="E86" i="2"/>
  <c r="C85" i="2"/>
  <c r="D85" i="2"/>
  <c r="E85" i="2"/>
  <c r="C84" i="2"/>
  <c r="D84" i="2"/>
  <c r="E84" i="2"/>
  <c r="C83" i="2"/>
  <c r="D83" i="2"/>
  <c r="E83" i="2"/>
  <c r="C82" i="2"/>
  <c r="D82" i="2"/>
  <c r="E82" i="2"/>
  <c r="C81" i="2"/>
  <c r="D81" i="2"/>
  <c r="E81" i="2"/>
  <c r="C80" i="2"/>
  <c r="D80" i="2"/>
  <c r="E80" i="2"/>
  <c r="C79" i="2"/>
  <c r="D79" i="2"/>
  <c r="E79" i="2"/>
  <c r="C78" i="2"/>
  <c r="D78" i="2"/>
  <c r="E78" i="2"/>
  <c r="C77" i="2"/>
  <c r="D77" i="2"/>
  <c r="E77" i="2"/>
  <c r="C76" i="2"/>
  <c r="D76" i="2"/>
  <c r="E76" i="2"/>
  <c r="C75" i="2"/>
  <c r="D75" i="2"/>
  <c r="E75" i="2"/>
  <c r="C74" i="2"/>
  <c r="D74" i="2"/>
  <c r="E74" i="2"/>
  <c r="A57" i="2"/>
  <c r="A58" i="2" s="1"/>
  <c r="A59" i="2" s="1"/>
  <c r="A60" i="2" s="1"/>
  <c r="A61" i="2" s="1"/>
  <c r="A62" i="2" s="1"/>
  <c r="A63" i="2" s="1"/>
  <c r="A64" i="2" s="1"/>
  <c r="A65" i="2" s="1"/>
  <c r="A66" i="2" s="1"/>
  <c r="A67" i="2" s="1"/>
  <c r="A68" i="2" s="1"/>
  <c r="A69" i="2" s="1"/>
  <c r="A70" i="2" s="1"/>
  <c r="A71" i="2" s="1"/>
  <c r="A72" i="2" s="1"/>
  <c r="A73" i="2" s="1"/>
  <c r="C73" i="2"/>
  <c r="D73" i="2"/>
  <c r="E73" i="2"/>
  <c r="C72" i="2"/>
  <c r="D72" i="2"/>
  <c r="E72" i="2"/>
  <c r="C71" i="2"/>
  <c r="D71" i="2"/>
  <c r="E71" i="2"/>
  <c r="C70" i="2"/>
  <c r="D70" i="2"/>
  <c r="E70" i="2"/>
  <c r="C69" i="2"/>
  <c r="D69" i="2"/>
  <c r="E69" i="2"/>
  <c r="C68" i="2"/>
  <c r="D68" i="2"/>
  <c r="E68" i="2"/>
  <c r="C67" i="2"/>
  <c r="D67" i="2"/>
  <c r="E67" i="2"/>
  <c r="C66" i="2"/>
  <c r="D66" i="2"/>
  <c r="E66" i="2"/>
  <c r="C65" i="2"/>
  <c r="D65" i="2"/>
  <c r="E65" i="2"/>
  <c r="C64" i="2"/>
  <c r="D64" i="2"/>
  <c r="E64" i="2"/>
  <c r="C63" i="2"/>
  <c r="D63" i="2"/>
  <c r="E63" i="2"/>
  <c r="C62" i="2"/>
  <c r="D62" i="2"/>
  <c r="E62" i="2"/>
  <c r="C61" i="2"/>
  <c r="D61" i="2"/>
  <c r="E61" i="2"/>
  <c r="C60" i="2"/>
  <c r="D60" i="2"/>
  <c r="E60" i="2"/>
  <c r="C59" i="2"/>
  <c r="D59" i="2"/>
  <c r="E59" i="2"/>
  <c r="C58" i="2"/>
  <c r="D58" i="2"/>
  <c r="E58" i="2"/>
  <c r="C57" i="2"/>
  <c r="D57" i="2"/>
  <c r="E57" i="2"/>
  <c r="C56" i="2"/>
  <c r="D56" i="2"/>
  <c r="E56" i="2"/>
  <c r="A39" i="2"/>
  <c r="A40" i="2" s="1"/>
  <c r="A41" i="2" s="1"/>
  <c r="A42" i="2" s="1"/>
  <c r="A43" i="2" s="1"/>
  <c r="A44" i="2" s="1"/>
  <c r="A45" i="2" s="1"/>
  <c r="A46" i="2" s="1"/>
  <c r="A47" i="2" s="1"/>
  <c r="A48" i="2" s="1"/>
  <c r="A49" i="2" s="1"/>
  <c r="A50" i="2" s="1"/>
  <c r="A51" i="2" s="1"/>
  <c r="A52" i="2" s="1"/>
  <c r="A53" i="2" s="1"/>
  <c r="A54" i="2" s="1"/>
  <c r="A55" i="2" s="1"/>
  <c r="C55" i="2"/>
  <c r="D55" i="2"/>
  <c r="E55" i="2"/>
  <c r="C54" i="2"/>
  <c r="D54" i="2"/>
  <c r="E54" i="2"/>
  <c r="C53" i="2"/>
  <c r="D53" i="2"/>
  <c r="E53" i="2"/>
  <c r="C52" i="2"/>
  <c r="D52" i="2"/>
  <c r="E52" i="2"/>
  <c r="C51" i="2"/>
  <c r="D51" i="2"/>
  <c r="E51" i="2"/>
  <c r="C50" i="2"/>
  <c r="D50" i="2"/>
  <c r="E50" i="2"/>
  <c r="C49" i="2"/>
  <c r="D49" i="2"/>
  <c r="E49" i="2"/>
  <c r="C48" i="2"/>
  <c r="D48" i="2"/>
  <c r="E48" i="2"/>
  <c r="C47" i="2"/>
  <c r="D47" i="2"/>
  <c r="E47" i="2"/>
  <c r="C46" i="2"/>
  <c r="D46" i="2"/>
  <c r="E46" i="2"/>
  <c r="C45" i="2"/>
  <c r="D45" i="2"/>
  <c r="E45" i="2"/>
  <c r="C44" i="2"/>
  <c r="D44" i="2"/>
  <c r="E44" i="2"/>
  <c r="C43" i="2"/>
  <c r="D43" i="2"/>
  <c r="E43" i="2"/>
  <c r="C42" i="2"/>
  <c r="D42" i="2"/>
  <c r="E42" i="2"/>
  <c r="C41" i="2"/>
  <c r="D41" i="2"/>
  <c r="E41" i="2"/>
  <c r="C40" i="2"/>
  <c r="D40" i="2"/>
  <c r="E40" i="2"/>
  <c r="C39" i="2"/>
  <c r="D39" i="2"/>
  <c r="E39" i="2"/>
  <c r="C38" i="2"/>
  <c r="D38" i="2"/>
  <c r="E38" i="2"/>
  <c r="C22" i="2"/>
  <c r="C23" i="2"/>
  <c r="C24" i="2"/>
  <c r="C25" i="2"/>
  <c r="C26" i="2"/>
  <c r="C27" i="2"/>
  <c r="C28" i="2"/>
  <c r="C29" i="2"/>
  <c r="C30" i="2"/>
  <c r="C31" i="2"/>
  <c r="C32" i="2"/>
  <c r="C33" i="2"/>
  <c r="C34" i="2"/>
  <c r="C35" i="2"/>
  <c r="C36" i="2"/>
  <c r="C37" i="2"/>
  <c r="D22" i="2"/>
  <c r="D23" i="2"/>
  <c r="D24" i="2"/>
  <c r="D25" i="2"/>
  <c r="D26" i="2"/>
  <c r="D27" i="2"/>
  <c r="D28" i="2"/>
  <c r="D29" i="2"/>
  <c r="D30" i="2"/>
  <c r="D31" i="2"/>
  <c r="D32" i="2"/>
  <c r="D33" i="2"/>
  <c r="D34" i="2"/>
  <c r="D35" i="2"/>
  <c r="D36" i="2"/>
  <c r="D37" i="2"/>
  <c r="E22" i="2"/>
  <c r="E23" i="2"/>
  <c r="E24" i="2"/>
  <c r="E25" i="2"/>
  <c r="E26" i="2"/>
  <c r="E27" i="2"/>
  <c r="E28" i="2"/>
  <c r="E29" i="2"/>
  <c r="E30" i="2"/>
  <c r="E31" i="2"/>
  <c r="E32" i="2"/>
  <c r="E33" i="2"/>
  <c r="E34" i="2"/>
  <c r="E35" i="2"/>
  <c r="E36" i="2"/>
  <c r="E37" i="2"/>
  <c r="A21" i="2"/>
  <c r="A22" i="2" s="1"/>
  <c r="A23" i="2" s="1"/>
  <c r="A24" i="2" s="1"/>
  <c r="A25" i="2" s="1"/>
  <c r="A26" i="2" s="1"/>
  <c r="A27" i="2" s="1"/>
  <c r="A28" i="2" s="1"/>
  <c r="A29" i="2" s="1"/>
  <c r="A30" i="2" s="1"/>
  <c r="A31" i="2" s="1"/>
  <c r="A32" i="2" s="1"/>
  <c r="A33" i="2" s="1"/>
  <c r="A34" i="2" s="1"/>
  <c r="A35" i="2" s="1"/>
  <c r="A36" i="2" s="1"/>
  <c r="A37" i="2" s="1"/>
  <c r="C21" i="2"/>
  <c r="D21" i="2"/>
  <c r="E21" i="2"/>
  <c r="C20" i="2"/>
  <c r="D20" i="2"/>
  <c r="E20" i="2"/>
  <c r="E2" i="2"/>
  <c r="E3" i="2"/>
  <c r="E4" i="2"/>
  <c r="E5" i="2"/>
  <c r="E6" i="2"/>
  <c r="E7" i="2"/>
  <c r="E8" i="2"/>
  <c r="E9" i="2"/>
  <c r="E10" i="2"/>
  <c r="E11" i="2"/>
  <c r="E12" i="2"/>
  <c r="E13" i="2"/>
  <c r="E14" i="2"/>
  <c r="E15" i="2"/>
  <c r="E16" i="2"/>
  <c r="E17" i="2"/>
  <c r="E18" i="2"/>
  <c r="E19" i="2"/>
  <c r="D2" i="2"/>
  <c r="A3" i="2"/>
  <c r="A4" i="2" s="1"/>
  <c r="A5" i="2" s="1"/>
  <c r="A6" i="2" s="1"/>
  <c r="A7" i="2" s="1"/>
  <c r="A8" i="2" s="1"/>
  <c r="A9" i="2" s="1"/>
  <c r="A10" i="2" s="1"/>
  <c r="A11" i="2" s="1"/>
  <c r="A12" i="2" s="1"/>
  <c r="A13" i="2" s="1"/>
  <c r="A14" i="2" s="1"/>
  <c r="A15" i="2" s="1"/>
  <c r="A16" i="2" s="1"/>
  <c r="A17" i="2" s="1"/>
  <c r="A18" i="2" s="1"/>
  <c r="A19" i="2" s="1"/>
  <c r="D3" i="2"/>
  <c r="D4" i="2"/>
  <c r="D5" i="2"/>
  <c r="D6" i="2"/>
  <c r="D7" i="2"/>
  <c r="D8" i="2"/>
  <c r="D9" i="2"/>
  <c r="D10" i="2"/>
  <c r="D11" i="2"/>
  <c r="D12" i="2"/>
  <c r="D13" i="2"/>
  <c r="D14" i="2"/>
  <c r="D15" i="2"/>
  <c r="D16" i="2"/>
  <c r="D17" i="2"/>
  <c r="D18" i="2"/>
  <c r="D19" i="2"/>
  <c r="C2" i="2"/>
  <c r="C3" i="2"/>
  <c r="C4" i="2"/>
  <c r="C5" i="2"/>
  <c r="C6" i="2"/>
  <c r="C7" i="2"/>
  <c r="C8" i="2"/>
  <c r="C9" i="2"/>
  <c r="C10" i="2"/>
  <c r="C11" i="2"/>
  <c r="C12" i="2"/>
  <c r="C13" i="2"/>
  <c r="C14" i="2"/>
  <c r="C15" i="2"/>
  <c r="C16" i="2"/>
  <c r="C17" i="2"/>
  <c r="C18" i="2"/>
  <c r="C19" i="2"/>
</calcChain>
</file>

<file path=xl/sharedStrings.xml><?xml version="1.0" encoding="utf-8"?>
<sst xmlns="http://schemas.openxmlformats.org/spreadsheetml/2006/main" count="25" uniqueCount="17">
  <si>
    <t>Average Score (Across 18 Holes):</t>
  </si>
  <si>
    <t>An average score per round of 24.2 is ordinary for someone who has been playing golf reguarly for 2 to 3 years</t>
  </si>
  <si>
    <t>Hole 3 and 18 have the lowest number of puts, these holes are both in the 300 yards range and are in the 10 hardest holes (stroke index 10), the entry to the green is difficult so I'm usually not in a good place on the green</t>
  </si>
  <si>
    <t>Holes 1, 2, 9, 13, 15 are the holes I put the most on, this could be due to starting slowly and more slopier greens on the back 9</t>
  </si>
  <si>
    <t>I score the best on par 3's but very closely by the par 5's. I think this is due to the par 5's being particularly small and myself performing better when there are less yards needed per shot</t>
  </si>
  <si>
    <t>Hole 15 is clearly a hole I need to work on to bring my average score down, this could easily bring my overall score down by playing it safe, avoiding potential hazards, changing the clubs used as it is consistently my worst hole. However, I seem to always recover well on the last holes as well as my score flucturates early in the round possibly due to not warming up properly.</t>
  </si>
  <si>
    <t>HoleID</t>
  </si>
  <si>
    <t>Average of Number of Puts</t>
  </si>
  <si>
    <t>Par</t>
  </si>
  <si>
    <t>Average of Score</t>
  </si>
  <si>
    <t>Total</t>
  </si>
  <si>
    <t>Round Date</t>
  </si>
  <si>
    <t>Yards</t>
  </si>
  <si>
    <t>Stroke Index</t>
  </si>
  <si>
    <t>Strokes</t>
  </si>
  <si>
    <t>Score</t>
  </si>
  <si>
    <t>Number of 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</si>
</sst>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8"/>
      <color theme="1"/>
      <name val="Calibri"/>
      <family val="2"/>
      <scheme val="minor"/>
    </font>
    <font>
      <b/>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wrapText="1"/>
    </xf>
    <xf numFmtId="0" fontId="0" fillId="0" borderId="0" xfId="0" applyAlignment="1">
      <alignment horizontal="right"/>
    </xf>
    <xf numFmtId="0" fontId="2" fillId="2" borderId="1" xfId="0" applyFont="1" applyFill="1" applyBorder="1" applyAlignment="1">
      <alignment horizontal="center" wrapText="1"/>
    </xf>
    <xf numFmtId="0" fontId="0" fillId="3" borderId="0" xfId="0" applyFill="1"/>
    <xf numFmtId="0" fontId="1" fillId="3" borderId="0" xfId="0" applyFont="1" applyFill="1" applyAlignment="1"/>
    <xf numFmtId="0" fontId="1" fillId="3" borderId="0" xfId="0" applyFont="1" applyFill="1" applyAlignment="1">
      <alignment wrapText="1"/>
    </xf>
    <xf numFmtId="0" fontId="3" fillId="3" borderId="0" xfId="0" applyFont="1" applyFill="1" applyAlignment="1">
      <alignment wrapText="1"/>
    </xf>
    <xf numFmtId="0" fontId="2" fillId="2" borderId="2" xfId="0" applyFont="1" applyFill="1" applyBorder="1" applyAlignment="1">
      <alignment horizontal="center"/>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[Golf Data Tracker.xlsx]Pivot Table Average Put!Number of Puts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number of puts each hole</a:t>
            </a:r>
          </a:p>
        </c:rich>
      </c:tx>
      <c:layout>
        <c:manualLayout>
          <c:xMode val="edge"/>
          <c:yMode val="edge"/>
          <c:x val="0.34156905114266295"/>
          <c:y val="4.3588500103838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solidFill>
              <a:srgbClr val="000000"/>
            </a:solidFill>
            <a:prstDash val="soli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D31"/>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D7D31"/>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D7D31"/>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Average Put'!$B$3</c:f>
              <c:strCache>
                <c:ptCount val="1"/>
                <c:pt idx="0">
                  <c:v>Total</c:v>
                </c:pt>
              </c:strCache>
            </c:strRef>
          </c:tx>
          <c:spPr>
            <a:solidFill>
              <a:srgbClr val="ED7D31"/>
            </a:solidFill>
            <a:ln>
              <a:solidFill>
                <a:srgbClr val="000000"/>
              </a:solidFill>
              <a:prstDash val="solid"/>
            </a:ln>
            <a:effectLst/>
          </c:spPr>
          <c:invertIfNegative val="0"/>
          <c:cat>
            <c:strRef>
              <c:f>'Pivot Table Average Put'!$A$4:$A$21</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'Pivot Table Average Put'!$B$4:$B$21</c:f>
              <c:numCache>
                <c:formatCode>General</c:formatCode>
                <c:ptCount val="18"/>
                <c:pt idx="0">
                  <c:v>2.4</c:v>
                </c:pt>
                <c:pt idx="1">
                  <c:v>2.4</c:v>
                </c:pt>
                <c:pt idx="2">
                  <c:v>1.6</c:v>
                </c:pt>
                <c:pt idx="3">
                  <c:v>2</c:v>
                </c:pt>
                <c:pt idx="4">
                  <c:v>2</c:v>
                </c:pt>
                <c:pt idx="5">
                  <c:v>2.2000000000000002</c:v>
                </c:pt>
                <c:pt idx="6">
                  <c:v>1.8</c:v>
                </c:pt>
                <c:pt idx="7">
                  <c:v>1.8</c:v>
                </c:pt>
                <c:pt idx="8">
                  <c:v>2.4</c:v>
                </c:pt>
                <c:pt idx="9">
                  <c:v>1.8</c:v>
                </c:pt>
                <c:pt idx="10">
                  <c:v>1.8</c:v>
                </c:pt>
                <c:pt idx="11">
                  <c:v>2</c:v>
                </c:pt>
                <c:pt idx="12">
                  <c:v>2.4</c:v>
                </c:pt>
                <c:pt idx="13">
                  <c:v>1.8</c:v>
                </c:pt>
                <c:pt idx="14">
                  <c:v>2.4</c:v>
                </c:pt>
                <c:pt idx="15">
                  <c:v>1.8</c:v>
                </c:pt>
                <c:pt idx="16">
                  <c:v>1.8</c:v>
                </c:pt>
                <c:pt idx="17">
                  <c:v>1.6</c:v>
                </c:pt>
              </c:numCache>
            </c:numRef>
          </c:val>
          <c:extLst>
            <c:ext xmlns:c16="http://schemas.microsoft.com/office/drawing/2014/chart" uri="{C3380CC4-5D6E-409C-BE32-E72D297353CC}">
              <c16:uniqueId val="{00000000-8118-4B6F-BB24-7B60C712FEC0}"/>
            </c:ext>
          </c:extLst>
        </c:ser>
        <c:dLbls>
          <c:showLegendKey val="0"/>
          <c:showVal val="0"/>
          <c:showCatName val="0"/>
          <c:showSerName val="0"/>
          <c:showPercent val="0"/>
          <c:showBubbleSize val="0"/>
        </c:dLbls>
        <c:gapWidth val="219"/>
        <c:overlap val="-27"/>
        <c:axId val="10606600"/>
        <c:axId val="12869128"/>
      </c:barChart>
      <c:catAx>
        <c:axId val="1060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128"/>
        <c:crosses val="autoZero"/>
        <c:auto val="1"/>
        <c:lblAlgn val="ctr"/>
        <c:lblOffset val="100"/>
        <c:noMultiLvlLbl val="0"/>
      </c:catAx>
      <c:valAx>
        <c:axId val="12869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[Golf Data Tracker.xlsx]Score VS Par!PivotTable2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Score VS Par</a:t>
            </a:r>
          </a:p>
        </c:rich>
      </c:tx>
      <c:layout>
        <c:manualLayout>
          <c:xMode val="edge"/>
          <c:yMode val="edge"/>
          <c:x val="0.3979551362232065"/>
          <c:y val="3.6132915026246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'Score VS Par'!$B$3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7C-41C4-B44C-4CB6B9F150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7C-41C4-B44C-4CB6B9F150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7C-41C4-B44C-4CB6B9F150C0}"/>
              </c:ext>
            </c:extLst>
          </c:dPt>
          <c:cat>
            <c:strRef>
              <c:f>'Score VS Par'!$A$4:$A$6</c:f>
              <c:strCache>
                <c:ptCount val="3"/>
                <c:pt idx="0">
                  <c:v>3</c:v>
                </c:pt>
                <c:pt idx="1">
                  <c:v>4</c:v>
                </c:pt>
                <c:pt idx="2">
                  <c:v>5</c:v>
                </c:pt>
              </c:strCache>
            </c:strRef>
          </c:cat>
          <c:val>
            <c:numRef>
              <c:f>'Score VS Par'!$B$4:$B$6</c:f>
              <c:numCache>
                <c:formatCode>General</c:formatCode>
                <c:ptCount val="3"/>
                <c:pt idx="0">
                  <c:v>1.28</c:v>
                </c:pt>
                <c:pt idx="1">
                  <c:v>1.4</c:v>
                </c:pt>
                <c:pt idx="2">
                  <c:v>1.3</c:v>
                </c:pt>
              </c:numCache>
            </c:numRef>
          </c:val>
          <c:extLst>
            <c:ext xmlns:c16="http://schemas.microsoft.com/office/drawing/2014/chart" uri="{C3380CC4-5D6E-409C-BE32-E72D297353CC}">
              <c16:uniqueId val="{00000006-A67C-41C4-B44C-4CB6B9F150C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[Golf Data Tracker.xlsx]Avg Score Each Hole!PivotTable3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Score Each Hole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'Avg Score Each Hole'!$B$3</c:f>
              <c:strCache>
                <c:ptCount val="1"/>
                <c:pt idx="0">
                  <c:v>Total</c:v>
                </c:pt>
              </c:strCache>
            </c:strRef>
          </c:tx>
          <c:spPr>
            <a:solidFill>
              <a:srgbClr val="FF0000"/>
            </a:solidFill>
            <a:ln>
              <a:noFill/>
            </a:ln>
            <a:effectLst/>
          </c:spPr>
          <c:cat>
            <c:strRef>
              <c:f>'Avg Score Each Hole'!$A$4:$A$21</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'Avg Score Each Hole'!$B$4:$B$21</c:f>
              <c:numCache>
                <c:formatCode>General</c:formatCode>
                <c:ptCount val="18"/>
                <c:pt idx="0">
                  <c:v>1.2</c:v>
                </c:pt>
                <c:pt idx="1">
                  <c:v>1.6</c:v>
                </c:pt>
                <c:pt idx="2">
                  <c:v>1</c:v>
                </c:pt>
                <c:pt idx="3">
                  <c:v>1.6</c:v>
                </c:pt>
                <c:pt idx="4">
                  <c:v>1.2</c:v>
                </c:pt>
                <c:pt idx="5">
                  <c:v>1.8</c:v>
                </c:pt>
                <c:pt idx="6">
                  <c:v>1.4</c:v>
                </c:pt>
                <c:pt idx="7">
                  <c:v>1.4</c:v>
                </c:pt>
                <c:pt idx="8">
                  <c:v>1.8</c:v>
                </c:pt>
                <c:pt idx="9">
                  <c:v>0.8</c:v>
                </c:pt>
                <c:pt idx="10">
                  <c:v>1.6</c:v>
                </c:pt>
                <c:pt idx="11">
                  <c:v>1.8</c:v>
                </c:pt>
                <c:pt idx="12">
                  <c:v>1.4</c:v>
                </c:pt>
                <c:pt idx="13">
                  <c:v>1</c:v>
                </c:pt>
                <c:pt idx="14">
                  <c:v>2.2000000000000002</c:v>
                </c:pt>
                <c:pt idx="15">
                  <c:v>0.8</c:v>
                </c:pt>
                <c:pt idx="16">
                  <c:v>0.8</c:v>
                </c:pt>
                <c:pt idx="17">
                  <c:v>0.8</c:v>
                </c:pt>
              </c:numCache>
            </c:numRef>
          </c:val>
          <c:extLst>
            <c:ext xmlns:c16="http://schemas.microsoft.com/office/drawing/2014/chart" uri="{C3380CC4-5D6E-409C-BE32-E72D297353CC}">
              <c16:uniqueId val="{00000000-A893-4128-8EA1-CD84D0D17251}"/>
            </c:ext>
          </c:extLst>
        </c:ser>
        <c:dLbls>
          <c:showLegendKey val="0"/>
          <c:showVal val="0"/>
          <c:showCatName val="0"/>
          <c:showSerName val="0"/>
          <c:showPercent val="0"/>
          <c:showBubbleSize val="0"/>
        </c:dLbls>
        <c:axId val="1761391111"/>
        <c:axId val="1761395719"/>
      </c:areaChart>
      <c:catAx>
        <c:axId val="1761391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395719"/>
        <c:crosses val="autoZero"/>
        <c:auto val="1"/>
        <c:lblAlgn val="ctr"/>
        <c:lblOffset val="100"/>
        <c:noMultiLvlLbl val="0"/>
      </c:catAx>
      <c:valAx>
        <c:axId val="1761395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3911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[Golf Data Tracker.xlsx]Pivot Table Average Put!Number of Puts</c:name>
    <c:fmtId val="0"/>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a:t>Average number of puts each hole</a:t>
            </a:r>
          </a:p>
        </c:rich>
      </c:tx>
      <c:layout>
        <c:manualLayout>
          <c:xMode val="edge"/>
          <c:yMode val="edge"/>
          <c:x val="0.25364427322561245"/>
          <c:y val="5.2571678662237532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Average Put'!$B$3</c:f>
              <c:strCache>
                <c:ptCount val="1"/>
                <c:pt idx="0">
                  <c:v>Total</c:v>
                </c:pt>
              </c:strCache>
            </c:strRef>
          </c:tx>
          <c:spPr>
            <a:solidFill>
              <a:srgbClr val="ED7D31"/>
            </a:solidFill>
            <a:ln>
              <a:solidFill>
                <a:srgbClr val="000000"/>
              </a:solidFill>
              <a:prstDash val="solid"/>
            </a:ln>
            <a:effectLst/>
          </c:spPr>
          <c:invertIfNegative val="0"/>
          <c:cat>
            <c:strRef>
              <c:f>'Pivot Table Average Put'!$A$4:$A$21</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'Pivot Table Average Put'!$B$4:$B$21</c:f>
              <c:numCache>
                <c:formatCode>General</c:formatCode>
                <c:ptCount val="18"/>
                <c:pt idx="0">
                  <c:v>2.4</c:v>
                </c:pt>
                <c:pt idx="1">
                  <c:v>2.4</c:v>
                </c:pt>
                <c:pt idx="2">
                  <c:v>1.6</c:v>
                </c:pt>
                <c:pt idx="3">
                  <c:v>2</c:v>
                </c:pt>
                <c:pt idx="4">
                  <c:v>2</c:v>
                </c:pt>
                <c:pt idx="5">
                  <c:v>2.2000000000000002</c:v>
                </c:pt>
                <c:pt idx="6">
                  <c:v>1.8</c:v>
                </c:pt>
                <c:pt idx="7">
                  <c:v>1.8</c:v>
                </c:pt>
                <c:pt idx="8">
                  <c:v>2.4</c:v>
                </c:pt>
                <c:pt idx="9">
                  <c:v>1.8</c:v>
                </c:pt>
                <c:pt idx="10">
                  <c:v>1.8</c:v>
                </c:pt>
                <c:pt idx="11">
                  <c:v>2</c:v>
                </c:pt>
                <c:pt idx="12">
                  <c:v>2.4</c:v>
                </c:pt>
                <c:pt idx="13">
                  <c:v>1.8</c:v>
                </c:pt>
                <c:pt idx="14">
                  <c:v>2.4</c:v>
                </c:pt>
                <c:pt idx="15">
                  <c:v>1.8</c:v>
                </c:pt>
                <c:pt idx="16">
                  <c:v>1.8</c:v>
                </c:pt>
                <c:pt idx="17">
                  <c:v>1.6</c:v>
                </c:pt>
              </c:numCache>
            </c:numRef>
          </c:val>
          <c:extLst>
            <c:ext xmlns:c16="http://schemas.microsoft.com/office/drawing/2014/chart" uri="{C3380CC4-5D6E-409C-BE32-E72D297353CC}">
              <c16:uniqueId val="{00000000-009E-4F1E-9D73-EC057E609C54}"/>
            </c:ext>
          </c:extLst>
        </c:ser>
        <c:dLbls>
          <c:showLegendKey val="0"/>
          <c:showVal val="0"/>
          <c:showCatName val="0"/>
          <c:showSerName val="0"/>
          <c:showPercent val="0"/>
          <c:showBubbleSize val="0"/>
        </c:dLbls>
        <c:gapWidth val="219"/>
        <c:overlap val="-27"/>
        <c:axId val="10606600"/>
        <c:axId val="12869128"/>
      </c:barChart>
      <c:catAx>
        <c:axId val="1060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128"/>
        <c:crosses val="autoZero"/>
        <c:auto val="1"/>
        <c:lblAlgn val="ctr"/>
        <c:lblOffset val="100"/>
        <c:noMultiLvlLbl val="0"/>
      </c:catAx>
      <c:valAx>
        <c:axId val="12869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[Golf Data Tracker.xlsx]Score VS Par!PivotTable2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Score VS Par</a:t>
            </a:r>
          </a:p>
        </c:rich>
      </c:tx>
      <c:layout>
        <c:manualLayout>
          <c:xMode val="edge"/>
          <c:yMode val="edge"/>
          <c:x val="0.3979551362232065"/>
          <c:y val="3.6132915026246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'Score VS Par'!$B$3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6-4C1B-9F26-8E3DC7491A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6-4C1B-9F26-8E3DC7491A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B6-4C1B-9F26-8E3DC7491A9E}"/>
              </c:ext>
            </c:extLst>
          </c:dPt>
          <c:cat>
            <c:strRef>
              <c:f>'Score VS Par'!$A$4:$A$6</c:f>
              <c:strCache>
                <c:ptCount val="3"/>
                <c:pt idx="0">
                  <c:v>3</c:v>
                </c:pt>
                <c:pt idx="1">
                  <c:v>4</c:v>
                </c:pt>
                <c:pt idx="2">
                  <c:v>5</c:v>
                </c:pt>
              </c:strCache>
            </c:strRef>
          </c:cat>
          <c:val>
            <c:numRef>
              <c:f>'Score VS Par'!$B$4:$B$6</c:f>
              <c:numCache>
                <c:formatCode>General</c:formatCode>
                <c:ptCount val="3"/>
                <c:pt idx="0">
                  <c:v>1.28</c:v>
                </c:pt>
                <c:pt idx="1">
                  <c:v>1.4</c:v>
                </c:pt>
                <c:pt idx="2">
                  <c:v>1.3</c:v>
                </c:pt>
              </c:numCache>
            </c:numRef>
          </c:val>
          <c:extLst>
            <c:ext xmlns:c16="http://schemas.microsoft.com/office/drawing/2014/chart" uri="{C3380CC4-5D6E-409C-BE32-E72D297353CC}">
              <c16:uniqueId val="{00000000-544A-4DD8-BAF2-84FB43DBD94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[Golf Data Tracker.xlsx]Avg Score Each Hole!PivotTable3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Score Each Hole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'Avg Score Each Hole'!$B$3</c:f>
              <c:strCache>
                <c:ptCount val="1"/>
                <c:pt idx="0">
                  <c:v>Total</c:v>
                </c:pt>
              </c:strCache>
            </c:strRef>
          </c:tx>
          <c:spPr>
            <a:solidFill>
              <a:srgbClr val="FF0000"/>
            </a:solidFill>
            <a:ln>
              <a:noFill/>
            </a:ln>
            <a:effectLst/>
          </c:spPr>
          <c:cat>
            <c:strRef>
              <c:f>'Avg Score Each Hole'!$A$4:$A$21</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'Avg Score Each Hole'!$B$4:$B$21</c:f>
              <c:numCache>
                <c:formatCode>General</c:formatCode>
                <c:ptCount val="18"/>
                <c:pt idx="0">
                  <c:v>1.2</c:v>
                </c:pt>
                <c:pt idx="1">
                  <c:v>1.6</c:v>
                </c:pt>
                <c:pt idx="2">
                  <c:v>1</c:v>
                </c:pt>
                <c:pt idx="3">
                  <c:v>1.6</c:v>
                </c:pt>
                <c:pt idx="4">
                  <c:v>1.2</c:v>
                </c:pt>
                <c:pt idx="5">
                  <c:v>1.8</c:v>
                </c:pt>
                <c:pt idx="6">
                  <c:v>1.4</c:v>
                </c:pt>
                <c:pt idx="7">
                  <c:v>1.4</c:v>
                </c:pt>
                <c:pt idx="8">
                  <c:v>1.8</c:v>
                </c:pt>
                <c:pt idx="9">
                  <c:v>0.8</c:v>
                </c:pt>
                <c:pt idx="10">
                  <c:v>1.6</c:v>
                </c:pt>
                <c:pt idx="11">
                  <c:v>1.8</c:v>
                </c:pt>
                <c:pt idx="12">
                  <c:v>1.4</c:v>
                </c:pt>
                <c:pt idx="13">
                  <c:v>1</c:v>
                </c:pt>
                <c:pt idx="14">
                  <c:v>2.2000000000000002</c:v>
                </c:pt>
                <c:pt idx="15">
                  <c:v>0.8</c:v>
                </c:pt>
                <c:pt idx="16">
                  <c:v>0.8</c:v>
                </c:pt>
                <c:pt idx="17">
                  <c:v>0.8</c:v>
                </c:pt>
              </c:numCache>
            </c:numRef>
          </c:val>
          <c:extLst>
            <c:ext xmlns:c16="http://schemas.microsoft.com/office/drawing/2014/chart" uri="{C3380CC4-5D6E-409C-BE32-E72D297353CC}">
              <c16:uniqueId val="{00000000-D23B-4FB4-91E9-0C6609140C0A}"/>
            </c:ext>
          </c:extLst>
        </c:ser>
        <c:dLbls>
          <c:showLegendKey val="0"/>
          <c:showVal val="0"/>
          <c:showCatName val="0"/>
          <c:showSerName val="0"/>
          <c:showPercent val="0"/>
          <c:showBubbleSize val="0"/>
        </c:dLbls>
        <c:axId val="1761391111"/>
        <c:axId val="1761395719"/>
      </c:areaChart>
      <c:catAx>
        <c:axId val="1761391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395719"/>
        <c:crosses val="autoZero"/>
        <c:auto val="1"/>
        <c:lblAlgn val="ctr"/>
        <c:lblOffset val="100"/>
        <c:noMultiLvlLbl val="0"/>
      </c:catAx>
      <c:valAx>
        <c:axId val="1761395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3911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85725</xdr:colOff>
      <xdr:row>0</xdr:row>
      <xdr:rowOff>257175</xdr:rowOff>
    </xdr:from>
    <xdr:to>
      <xdr:col>8</xdr:col>
      <xdr:colOff>228600</xdr:colOff>
      <xdr:row>10</xdr:row>
      <xdr:rowOff>47625</xdr:rowOff>
    </xdr:to>
    <xdr:graphicFrame macro="">
      <xdr:nvGraphicFramePr>
        <xdr:cNvPr id="2" name="Chart 1">
          <a:extLst>
            <a:ext uri="{FF2B5EF4-FFF2-40B4-BE49-F238E27FC236}">
              <a16:creationId xmlns:a16="http://schemas.microsoft.com/office/drawing/2014/main" id="{D9A0E3A7-F8F5-41F4-83A3-01FA390DE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1219200</xdr:colOff>
      <xdr:row>13</xdr:row>
      <xdr:rowOff>9525</xdr:rowOff>
    </xdr:from>
    <xdr:to>
      <xdr:col>4</xdr:col>
      <xdr:colOff>2247900</xdr:colOff>
      <xdr:row>27</xdr:row>
      <xdr:rowOff>76200</xdr:rowOff>
    </xdr:to>
    <xdr:graphicFrame macro="">
      <xdr:nvGraphicFramePr>
        <xdr:cNvPr id="4" name="Chart 3">
          <a:extLst>
            <a:ext uri="{FF2B5EF4-FFF2-40B4-BE49-F238E27FC236}">
              <a16:creationId xmlns:a16="http://schemas.microsoft.com/office/drawing/2014/main" id="{424D14AB-E8B6-4388-8395-A3E664A0E119}"/>
            </a:ext>
            <a:ext uri="{147F2762-F138-4A5C-976F-8EAC2B608ADB}">
              <a16:predDERef xmlns:a16="http://schemas.microsoft.com/office/drawing/2014/main" pred="{D9A0E3A7-F8F5-41F4-83A3-01FA390DE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95250</xdr:colOff>
      <xdr:row>13</xdr:row>
      <xdr:rowOff>76200</xdr:rowOff>
    </xdr:from>
    <xdr:to>
      <xdr:col>10</xdr:col>
      <xdr:colOff>400050</xdr:colOff>
      <xdr:row>22</xdr:row>
      <xdr:rowOff>57150</xdr:rowOff>
    </xdr:to>
    <xdr:graphicFrame macro="">
      <xdr:nvGraphicFramePr>
        <xdr:cNvPr id="3" name="Chart 2">
          <a:extLst>
            <a:ext uri="{FF2B5EF4-FFF2-40B4-BE49-F238E27FC236}">
              <a16:creationId xmlns:a16="http://schemas.microsoft.com/office/drawing/2014/main" id="{E9B31650-367A-44BB-93A3-21E1610E0B8C}"/>
            </a:ext>
            <a:ext uri="{147F2762-F138-4A5C-976F-8EAC2B608ADB}">
              <a16:predDERef xmlns:a16="http://schemas.microsoft.com/office/drawing/2014/main" pred="{424D14AB-E8B6-4388-8395-A3E664A0E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438150</xdr:colOff>
      <xdr:row>4</xdr:row>
      <xdr:rowOff>123825</xdr:rowOff>
    </xdr:from>
    <xdr:to>
      <xdr:col>11</xdr:col>
      <xdr:colOff>133350</xdr:colOff>
      <xdr:row>19</xdr:row>
      <xdr:rowOff>9525</xdr:rowOff>
    </xdr:to>
    <xdr:graphicFrame macro="">
      <xdr:nvGraphicFramePr>
        <xdr:cNvPr id="2" name="Chart 1">
          <a:extLst>
            <a:ext uri="{FF2B5EF4-FFF2-40B4-BE49-F238E27FC236}">
              <a16:creationId xmlns:a16="http://schemas.microsoft.com/office/drawing/2014/main" id="{EBED05D3-D417-51B4-883B-45C9E5985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6</xdr:row>
      <xdr:rowOff>19050</xdr:rowOff>
    </xdr:from>
    <xdr:to>
      <xdr:col>11</xdr:col>
      <xdr:colOff>381000</xdr:colOff>
      <xdr:row>20</xdr:row>
      <xdr:rowOff>95250</xdr:rowOff>
    </xdr:to>
    <xdr:graphicFrame macro="">
      <xdr:nvGraphicFramePr>
        <xdr:cNvPr id="2" name="Chart 1">
          <a:extLst>
            <a:ext uri="{FF2B5EF4-FFF2-40B4-BE49-F238E27FC236}">
              <a16:creationId xmlns:a16="http://schemas.microsoft.com/office/drawing/2014/main" id="{0096E449-492E-D00B-0FF6-47A2EEEC6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485775</xdr:colOff>
      <xdr:row>6</xdr:row>
      <xdr:rowOff>19050</xdr:rowOff>
    </xdr:from>
    <xdr:to>
      <xdr:col>11</xdr:col>
      <xdr:colOff>180975</xdr:colOff>
      <xdr:row>20</xdr:row>
      <xdr:rowOff>95250</xdr:rowOff>
    </xdr:to>
    <xdr:graphicFrame macro="">
      <xdr:nvGraphicFramePr>
        <xdr:cNvPr id="3" name="Chart 2">
          <a:extLst>
            <a:ext uri="{FF2B5EF4-FFF2-40B4-BE49-F238E27FC236}">
              <a16:creationId xmlns:a16="http://schemas.microsoft.com/office/drawing/2014/main" id="{11D15CB6-9FAB-1743-2D38-6C3525F17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6.718945023145" createdVersion="8" refreshedVersion="8" minRefreshableVersion="3" recordCount="90" xr:uid="{7B253F8A-3C83-4AD4-9038-440DBD185252}">
  <cacheSource type="worksheet">
    <worksheetSource name="Table3"/>
  </cacheSource>
  <cacheFields count="8">
    <cacheField name="Round Date" numFmtId="14">
      <sharedItems containsSemiMixedTypes="0" containsNonDate="0" containsDate="1" containsString="0" minDate="2026-05-01T00:00:00" maxDate="2026-06-04T00:00:00"/>
    </cacheField>
    <cacheField name="HoleID" numFmtId="0">
      <sharedItems containsSemiMixedTypes="0" containsString="0" containsNumber="1" containsInteger="1" minValue="1" maxValue="18" count="18">
        <n v="1"/>
        <n v="2"/>
        <n v="3"/>
        <n v="4"/>
        <n v="5"/>
        <n v="6"/>
        <n v="7"/>
        <n v="8"/>
        <n v="9"/>
        <n v="10"/>
        <n v="11"/>
        <n v="12"/>
        <n v="13"/>
        <n v="14"/>
        <n v="15"/>
        <n v="16"/>
        <n v="17"/>
        <n v="18"/>
      </sharedItems>
    </cacheField>
    <cacheField name="Par" numFmtId="0">
      <sharedItems containsSemiMixedTypes="0" containsString="0" containsNumber="1" containsInteger="1" minValue="3" maxValue="5" count="3">
        <n v="5"/>
        <n v="3"/>
        <n v="4"/>
      </sharedItems>
    </cacheField>
    <cacheField name="Yards" numFmtId="0">
      <sharedItems containsSemiMixedTypes="0" containsString="0" containsNumber="1" containsInteger="1" minValue="154" maxValue="519"/>
    </cacheField>
    <cacheField name="Stroke Index" numFmtId="0">
      <sharedItems containsSemiMixedTypes="0" containsString="0" containsNumber="1" containsInteger="1" minValue="1" maxValue="18"/>
    </cacheField>
    <cacheField name="Strokes" numFmtId="0">
      <sharedItems containsSemiMixedTypes="0" containsString="0" containsNumber="1" containsInteger="1" minValue="3" maxValue="8"/>
    </cacheField>
    <cacheField name="Score" numFmtId="0">
      <sharedItems containsSemiMixedTypes="0" containsString="0" containsNumber="1" containsInteger="1" minValue="0" maxValue="3"/>
    </cacheField>
    <cacheField name="Number of Puts" numFmtId="0">
      <sharedItems containsSemiMixedTypes="0" containsString="0" containsNumber="1" containsInteger="1" minValue="1"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d v="2026-05-01T00:00:00"/>
    <x v="0"/>
    <x v="0"/>
    <n v="446"/>
    <n v="11"/>
    <n v="7"/>
    <n v="2"/>
    <n v="3"/>
  </r>
  <r>
    <d v="2026-05-01T00:00:00"/>
    <x v="1"/>
    <x v="1"/>
    <n v="178"/>
    <n v="7"/>
    <n v="5"/>
    <n v="2"/>
    <n v="2"/>
  </r>
  <r>
    <d v="2026-05-01T00:00:00"/>
    <x v="2"/>
    <x v="2"/>
    <n v="370"/>
    <n v="5"/>
    <n v="4"/>
    <n v="0"/>
    <n v="1"/>
  </r>
  <r>
    <d v="2026-05-01T00:00:00"/>
    <x v="3"/>
    <x v="2"/>
    <n v="379"/>
    <n v="13"/>
    <n v="5"/>
    <n v="1"/>
    <n v="2"/>
  </r>
  <r>
    <d v="2026-05-01T00:00:00"/>
    <x v="4"/>
    <x v="0"/>
    <n v="519"/>
    <n v="1"/>
    <n v="7"/>
    <n v="2"/>
    <n v="3"/>
  </r>
  <r>
    <d v="2026-05-01T00:00:00"/>
    <x v="5"/>
    <x v="1"/>
    <n v="154"/>
    <n v="17"/>
    <n v="6"/>
    <n v="3"/>
    <n v="2"/>
  </r>
  <r>
    <d v="2026-05-01T00:00:00"/>
    <x v="6"/>
    <x v="2"/>
    <n v="262"/>
    <n v="15"/>
    <n v="6"/>
    <n v="2"/>
    <n v="2"/>
  </r>
  <r>
    <d v="2026-05-01T00:00:00"/>
    <x v="7"/>
    <x v="2"/>
    <n v="407"/>
    <n v="3"/>
    <n v="5"/>
    <n v="1"/>
    <n v="1"/>
  </r>
  <r>
    <d v="2026-05-01T00:00:00"/>
    <x v="8"/>
    <x v="0"/>
    <n v="452"/>
    <n v="9"/>
    <n v="8"/>
    <n v="3"/>
    <n v="4"/>
  </r>
  <r>
    <d v="2026-05-01T00:00:00"/>
    <x v="9"/>
    <x v="1"/>
    <n v="187"/>
    <n v="12"/>
    <n v="4"/>
    <n v="1"/>
    <n v="2"/>
  </r>
  <r>
    <d v="2026-05-01T00:00:00"/>
    <x v="10"/>
    <x v="2"/>
    <n v="369"/>
    <n v="4"/>
    <n v="6"/>
    <n v="2"/>
    <n v="3"/>
  </r>
  <r>
    <d v="2026-05-01T00:00:00"/>
    <x v="11"/>
    <x v="2"/>
    <n v="346"/>
    <n v="8"/>
    <n v="6"/>
    <n v="2"/>
    <n v="2"/>
  </r>
  <r>
    <d v="2026-05-01T00:00:00"/>
    <x v="12"/>
    <x v="1"/>
    <n v="159"/>
    <n v="18"/>
    <n v="4"/>
    <n v="1"/>
    <n v="1"/>
  </r>
  <r>
    <d v="2026-05-01T00:00:00"/>
    <x v="13"/>
    <x v="0"/>
    <n v="494"/>
    <n v="2"/>
    <n v="5"/>
    <n v="0"/>
    <n v="1"/>
  </r>
  <r>
    <d v="2026-05-01T00:00:00"/>
    <x v="14"/>
    <x v="2"/>
    <n v="277"/>
    <n v="14"/>
    <n v="6"/>
    <n v="2"/>
    <n v="2"/>
  </r>
  <r>
    <d v="2026-05-01T00:00:00"/>
    <x v="15"/>
    <x v="2"/>
    <n v="325"/>
    <n v="6"/>
    <n v="5"/>
    <n v="1"/>
    <n v="1"/>
  </r>
  <r>
    <d v="2026-05-01T00:00:00"/>
    <x v="16"/>
    <x v="1"/>
    <n v="169"/>
    <n v="16"/>
    <n v="4"/>
    <n v="1"/>
    <n v="2"/>
  </r>
  <r>
    <d v="2026-05-01T00:00:00"/>
    <x v="17"/>
    <x v="2"/>
    <n v="338"/>
    <n v="10"/>
    <n v="4"/>
    <n v="0"/>
    <n v="1"/>
  </r>
  <r>
    <d v="2026-05-07T00:00:00"/>
    <x v="0"/>
    <x v="0"/>
    <n v="446"/>
    <n v="11"/>
    <n v="6"/>
    <n v="1"/>
    <n v="2"/>
  </r>
  <r>
    <d v="2026-05-07T00:00:00"/>
    <x v="1"/>
    <x v="1"/>
    <n v="178"/>
    <n v="7"/>
    <n v="5"/>
    <n v="2"/>
    <n v="3"/>
  </r>
  <r>
    <d v="2026-05-07T00:00:00"/>
    <x v="2"/>
    <x v="2"/>
    <n v="370"/>
    <n v="5"/>
    <n v="5"/>
    <n v="1"/>
    <n v="1"/>
  </r>
  <r>
    <d v="2026-05-07T00:00:00"/>
    <x v="3"/>
    <x v="2"/>
    <n v="379"/>
    <n v="13"/>
    <n v="6"/>
    <n v="2"/>
    <n v="2"/>
  </r>
  <r>
    <d v="2026-05-07T00:00:00"/>
    <x v="4"/>
    <x v="0"/>
    <n v="519"/>
    <n v="1"/>
    <n v="6"/>
    <n v="1"/>
    <n v="2"/>
  </r>
  <r>
    <d v="2026-05-07T00:00:00"/>
    <x v="5"/>
    <x v="1"/>
    <n v="154"/>
    <n v="17"/>
    <n v="4"/>
    <n v="1"/>
    <n v="2"/>
  </r>
  <r>
    <d v="2026-05-07T00:00:00"/>
    <x v="6"/>
    <x v="2"/>
    <n v="262"/>
    <n v="15"/>
    <n v="6"/>
    <n v="2"/>
    <n v="2"/>
  </r>
  <r>
    <d v="2026-05-07T00:00:00"/>
    <x v="7"/>
    <x v="2"/>
    <n v="407"/>
    <n v="3"/>
    <n v="7"/>
    <n v="3"/>
    <n v="3"/>
  </r>
  <r>
    <d v="2026-05-07T00:00:00"/>
    <x v="8"/>
    <x v="0"/>
    <n v="452"/>
    <n v="9"/>
    <n v="7"/>
    <n v="2"/>
    <n v="2"/>
  </r>
  <r>
    <d v="2026-05-07T00:00:00"/>
    <x v="9"/>
    <x v="1"/>
    <n v="187"/>
    <n v="12"/>
    <n v="3"/>
    <n v="0"/>
    <n v="1"/>
  </r>
  <r>
    <d v="2026-05-07T00:00:00"/>
    <x v="10"/>
    <x v="2"/>
    <n v="369"/>
    <n v="4"/>
    <n v="6"/>
    <n v="2"/>
    <n v="1"/>
  </r>
  <r>
    <d v="2026-05-07T00:00:00"/>
    <x v="11"/>
    <x v="2"/>
    <n v="346"/>
    <n v="8"/>
    <n v="6"/>
    <n v="2"/>
    <n v="2"/>
  </r>
  <r>
    <d v="2026-05-07T00:00:00"/>
    <x v="12"/>
    <x v="1"/>
    <n v="159"/>
    <n v="18"/>
    <n v="5"/>
    <n v="2"/>
    <n v="3"/>
  </r>
  <r>
    <d v="2026-05-07T00:00:00"/>
    <x v="13"/>
    <x v="0"/>
    <n v="494"/>
    <n v="2"/>
    <n v="6"/>
    <n v="1"/>
    <n v="1"/>
  </r>
  <r>
    <d v="2026-05-07T00:00:00"/>
    <x v="14"/>
    <x v="2"/>
    <n v="277"/>
    <n v="14"/>
    <n v="7"/>
    <n v="3"/>
    <n v="3"/>
  </r>
  <r>
    <d v="2026-05-07T00:00:00"/>
    <x v="15"/>
    <x v="2"/>
    <n v="325"/>
    <n v="6"/>
    <n v="5"/>
    <n v="1"/>
    <n v="2"/>
  </r>
  <r>
    <d v="2026-05-07T00:00:00"/>
    <x v="16"/>
    <x v="1"/>
    <n v="169"/>
    <n v="16"/>
    <n v="3"/>
    <n v="0"/>
    <n v="1"/>
  </r>
  <r>
    <d v="2026-05-07T00:00:00"/>
    <x v="17"/>
    <x v="2"/>
    <n v="338"/>
    <n v="10"/>
    <n v="5"/>
    <n v="1"/>
    <n v="2"/>
  </r>
  <r>
    <d v="2026-05-14T00:00:00"/>
    <x v="0"/>
    <x v="0"/>
    <n v="446"/>
    <n v="11"/>
    <n v="6"/>
    <n v="1"/>
    <n v="3"/>
  </r>
  <r>
    <d v="2026-05-14T00:00:00"/>
    <x v="1"/>
    <x v="1"/>
    <n v="178"/>
    <n v="7"/>
    <n v="4"/>
    <n v="1"/>
    <n v="2"/>
  </r>
  <r>
    <d v="2026-05-14T00:00:00"/>
    <x v="2"/>
    <x v="2"/>
    <n v="370"/>
    <n v="5"/>
    <n v="6"/>
    <n v="2"/>
    <n v="2"/>
  </r>
  <r>
    <d v="2026-05-14T00:00:00"/>
    <x v="3"/>
    <x v="2"/>
    <n v="379"/>
    <n v="13"/>
    <n v="6"/>
    <n v="2"/>
    <n v="2"/>
  </r>
  <r>
    <d v="2026-05-14T00:00:00"/>
    <x v="4"/>
    <x v="0"/>
    <n v="519"/>
    <n v="1"/>
    <n v="7"/>
    <n v="2"/>
    <n v="2"/>
  </r>
  <r>
    <d v="2026-05-14T00:00:00"/>
    <x v="5"/>
    <x v="1"/>
    <n v="154"/>
    <n v="17"/>
    <n v="5"/>
    <n v="2"/>
    <n v="3"/>
  </r>
  <r>
    <d v="2026-05-14T00:00:00"/>
    <x v="6"/>
    <x v="2"/>
    <n v="262"/>
    <n v="15"/>
    <n v="4"/>
    <n v="0"/>
    <n v="1"/>
  </r>
  <r>
    <d v="2026-05-14T00:00:00"/>
    <x v="7"/>
    <x v="2"/>
    <n v="407"/>
    <n v="3"/>
    <n v="5"/>
    <n v="1"/>
    <n v="2"/>
  </r>
  <r>
    <d v="2026-05-14T00:00:00"/>
    <x v="8"/>
    <x v="0"/>
    <n v="452"/>
    <n v="9"/>
    <n v="6"/>
    <n v="1"/>
    <n v="1"/>
  </r>
  <r>
    <d v="2026-05-14T00:00:00"/>
    <x v="9"/>
    <x v="1"/>
    <n v="187"/>
    <n v="12"/>
    <n v="6"/>
    <n v="3"/>
    <n v="3"/>
  </r>
  <r>
    <d v="2026-05-14T00:00:00"/>
    <x v="10"/>
    <x v="2"/>
    <n v="369"/>
    <n v="4"/>
    <n v="6"/>
    <n v="2"/>
    <n v="2"/>
  </r>
  <r>
    <d v="2026-05-14T00:00:00"/>
    <x v="11"/>
    <x v="2"/>
    <n v="346"/>
    <n v="8"/>
    <n v="7"/>
    <n v="3"/>
    <n v="2"/>
  </r>
  <r>
    <d v="2026-05-14T00:00:00"/>
    <x v="12"/>
    <x v="1"/>
    <n v="159"/>
    <n v="18"/>
    <n v="5"/>
    <n v="2"/>
    <n v="3"/>
  </r>
  <r>
    <d v="2026-05-14T00:00:00"/>
    <x v="13"/>
    <x v="0"/>
    <n v="494"/>
    <n v="2"/>
    <n v="6"/>
    <n v="1"/>
    <n v="2"/>
  </r>
  <r>
    <d v="2026-05-14T00:00:00"/>
    <x v="14"/>
    <x v="2"/>
    <n v="277"/>
    <n v="14"/>
    <n v="6"/>
    <n v="2"/>
    <n v="2"/>
  </r>
  <r>
    <d v="2026-05-14T00:00:00"/>
    <x v="15"/>
    <x v="2"/>
    <n v="325"/>
    <n v="6"/>
    <n v="4"/>
    <n v="0"/>
    <n v="2"/>
  </r>
  <r>
    <d v="2026-05-14T00:00:00"/>
    <x v="16"/>
    <x v="1"/>
    <n v="169"/>
    <n v="16"/>
    <n v="5"/>
    <n v="2"/>
    <n v="3"/>
  </r>
  <r>
    <d v="2026-05-14T00:00:00"/>
    <x v="17"/>
    <x v="2"/>
    <n v="338"/>
    <n v="10"/>
    <n v="6"/>
    <n v="2"/>
    <n v="2"/>
  </r>
  <r>
    <d v="2026-05-28T00:00:00"/>
    <x v="0"/>
    <x v="0"/>
    <n v="446"/>
    <n v="11"/>
    <n v="7"/>
    <n v="2"/>
    <n v="3"/>
  </r>
  <r>
    <d v="2026-05-28T00:00:00"/>
    <x v="1"/>
    <x v="1"/>
    <n v="178"/>
    <n v="7"/>
    <n v="4"/>
    <n v="1"/>
    <n v="2"/>
  </r>
  <r>
    <d v="2026-05-28T00:00:00"/>
    <x v="2"/>
    <x v="2"/>
    <n v="370"/>
    <n v="5"/>
    <n v="5"/>
    <n v="1"/>
    <n v="2"/>
  </r>
  <r>
    <d v="2026-05-28T00:00:00"/>
    <x v="3"/>
    <x v="2"/>
    <n v="379"/>
    <n v="13"/>
    <n v="5"/>
    <n v="1"/>
    <n v="2"/>
  </r>
  <r>
    <d v="2026-05-28T00:00:00"/>
    <x v="4"/>
    <x v="0"/>
    <n v="519"/>
    <n v="1"/>
    <n v="5"/>
    <n v="0"/>
    <n v="1"/>
  </r>
  <r>
    <d v="2026-05-28T00:00:00"/>
    <x v="5"/>
    <x v="1"/>
    <n v="154"/>
    <n v="17"/>
    <n v="5"/>
    <n v="2"/>
    <n v="2"/>
  </r>
  <r>
    <d v="2026-05-28T00:00:00"/>
    <x v="6"/>
    <x v="2"/>
    <n v="262"/>
    <n v="15"/>
    <n v="6"/>
    <n v="2"/>
    <n v="2"/>
  </r>
  <r>
    <d v="2026-05-28T00:00:00"/>
    <x v="7"/>
    <x v="2"/>
    <n v="407"/>
    <n v="3"/>
    <n v="4"/>
    <n v="0"/>
    <n v="1"/>
  </r>
  <r>
    <d v="2026-05-28T00:00:00"/>
    <x v="8"/>
    <x v="0"/>
    <n v="452"/>
    <n v="9"/>
    <n v="6"/>
    <n v="1"/>
    <n v="2"/>
  </r>
  <r>
    <d v="2026-05-28T00:00:00"/>
    <x v="9"/>
    <x v="1"/>
    <n v="187"/>
    <n v="12"/>
    <n v="3"/>
    <n v="0"/>
    <n v="2"/>
  </r>
  <r>
    <d v="2026-05-28T00:00:00"/>
    <x v="10"/>
    <x v="2"/>
    <n v="369"/>
    <n v="4"/>
    <n v="4"/>
    <n v="0"/>
    <n v="1"/>
  </r>
  <r>
    <d v="2026-05-28T00:00:00"/>
    <x v="11"/>
    <x v="2"/>
    <n v="346"/>
    <n v="8"/>
    <n v="5"/>
    <n v="1"/>
    <n v="2"/>
  </r>
  <r>
    <d v="2026-05-28T00:00:00"/>
    <x v="12"/>
    <x v="1"/>
    <n v="159"/>
    <n v="18"/>
    <n v="4"/>
    <n v="1"/>
    <n v="3"/>
  </r>
  <r>
    <d v="2026-05-28T00:00:00"/>
    <x v="13"/>
    <x v="0"/>
    <n v="494"/>
    <n v="2"/>
    <n v="6"/>
    <n v="1"/>
    <n v="2"/>
  </r>
  <r>
    <d v="2026-05-28T00:00:00"/>
    <x v="14"/>
    <x v="2"/>
    <n v="277"/>
    <n v="14"/>
    <n v="6"/>
    <n v="2"/>
    <n v="2"/>
  </r>
  <r>
    <d v="2026-05-28T00:00:00"/>
    <x v="15"/>
    <x v="2"/>
    <n v="325"/>
    <n v="6"/>
    <n v="5"/>
    <n v="1"/>
    <n v="2"/>
  </r>
  <r>
    <d v="2026-05-28T00:00:00"/>
    <x v="16"/>
    <x v="1"/>
    <n v="169"/>
    <n v="16"/>
    <n v="4"/>
    <n v="1"/>
    <n v="2"/>
  </r>
  <r>
    <d v="2026-05-28T00:00:00"/>
    <x v="17"/>
    <x v="2"/>
    <n v="338"/>
    <n v="10"/>
    <n v="4"/>
    <n v="0"/>
    <n v="1"/>
  </r>
  <r>
    <d v="2026-06-03T00:00:00"/>
    <x v="0"/>
    <x v="0"/>
    <n v="446"/>
    <n v="11"/>
    <n v="5"/>
    <n v="0"/>
    <n v="1"/>
  </r>
  <r>
    <d v="2026-06-03T00:00:00"/>
    <x v="1"/>
    <x v="1"/>
    <n v="178"/>
    <n v="7"/>
    <n v="5"/>
    <n v="2"/>
    <n v="3"/>
  </r>
  <r>
    <d v="2026-06-03T00:00:00"/>
    <x v="2"/>
    <x v="2"/>
    <n v="370"/>
    <n v="5"/>
    <n v="5"/>
    <n v="1"/>
    <n v="2"/>
  </r>
  <r>
    <d v="2026-06-03T00:00:00"/>
    <x v="3"/>
    <x v="2"/>
    <n v="379"/>
    <n v="13"/>
    <n v="6"/>
    <n v="2"/>
    <n v="2"/>
  </r>
  <r>
    <d v="2026-06-03T00:00:00"/>
    <x v="4"/>
    <x v="0"/>
    <n v="519"/>
    <n v="1"/>
    <n v="6"/>
    <n v="1"/>
    <n v="2"/>
  </r>
  <r>
    <d v="2026-06-03T00:00:00"/>
    <x v="5"/>
    <x v="1"/>
    <n v="154"/>
    <n v="17"/>
    <n v="4"/>
    <n v="1"/>
    <n v="2"/>
  </r>
  <r>
    <d v="2026-06-03T00:00:00"/>
    <x v="6"/>
    <x v="2"/>
    <n v="262"/>
    <n v="15"/>
    <n v="5"/>
    <n v="1"/>
    <n v="2"/>
  </r>
  <r>
    <d v="2026-06-03T00:00:00"/>
    <x v="7"/>
    <x v="2"/>
    <n v="407"/>
    <n v="3"/>
    <n v="6"/>
    <n v="2"/>
    <n v="2"/>
  </r>
  <r>
    <d v="2026-06-03T00:00:00"/>
    <x v="8"/>
    <x v="0"/>
    <n v="452"/>
    <n v="9"/>
    <n v="7"/>
    <n v="2"/>
    <n v="3"/>
  </r>
  <r>
    <d v="2026-06-03T00:00:00"/>
    <x v="9"/>
    <x v="1"/>
    <n v="187"/>
    <n v="12"/>
    <n v="3"/>
    <n v="0"/>
    <n v="1"/>
  </r>
  <r>
    <d v="2026-06-03T00:00:00"/>
    <x v="10"/>
    <x v="2"/>
    <n v="369"/>
    <n v="4"/>
    <n v="6"/>
    <n v="2"/>
    <n v="2"/>
  </r>
  <r>
    <d v="2026-06-03T00:00:00"/>
    <x v="11"/>
    <x v="2"/>
    <n v="346"/>
    <n v="8"/>
    <n v="5"/>
    <n v="1"/>
    <n v="2"/>
  </r>
  <r>
    <d v="2026-06-03T00:00:00"/>
    <x v="12"/>
    <x v="1"/>
    <n v="159"/>
    <n v="18"/>
    <n v="4"/>
    <n v="1"/>
    <n v="2"/>
  </r>
  <r>
    <d v="2026-06-03T00:00:00"/>
    <x v="13"/>
    <x v="0"/>
    <n v="494"/>
    <n v="2"/>
    <n v="7"/>
    <n v="2"/>
    <n v="3"/>
  </r>
  <r>
    <d v="2026-06-03T00:00:00"/>
    <x v="14"/>
    <x v="2"/>
    <n v="277"/>
    <n v="14"/>
    <n v="6"/>
    <n v="2"/>
    <n v="3"/>
  </r>
  <r>
    <d v="2026-06-03T00:00:00"/>
    <x v="15"/>
    <x v="2"/>
    <n v="325"/>
    <n v="6"/>
    <n v="5"/>
    <n v="1"/>
    <n v="2"/>
  </r>
  <r>
    <d v="2026-06-03T00:00:00"/>
    <x v="16"/>
    <x v="1"/>
    <n v="169"/>
    <n v="16"/>
    <n v="3"/>
    <n v="0"/>
    <n v="1"/>
  </r>
  <r>
    <d v="2026-06-03T00:00:00"/>
    <x v="17"/>
    <x v="2"/>
    <n v="338"/>
    <n v="10"/>
    <n v="5"/>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8198F8-B689-421F-BB42-1FBA5CBF62FB}" name="Number of Puts"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21" firstHeaderRow="1" firstDataRow="1" firstDataCol="1"/>
  <pivotFields count="8">
    <pivotField compact="0" numFmtId="14" outline="0" showAll="0" defaultSubtotal="0"/>
    <pivotField axis="axisRow" compact="0" outline="0" showAll="0" defaultSubtotal="0">
      <items count="18">
        <item x="0"/>
        <item x="1"/>
        <item x="2"/>
        <item x="3"/>
        <item x="4"/>
        <item x="5"/>
        <item x="6"/>
        <item x="7"/>
        <item x="8"/>
        <item x="9"/>
        <item x="10"/>
        <item x="11"/>
        <item x="12"/>
        <item x="13"/>
        <item x="14"/>
        <item x="15"/>
        <item x="16"/>
        <item x="17"/>
      </items>
    </pivotField>
    <pivotField compact="0" outline="0" showAll="0" defaultSubtotal="0"/>
    <pivotField compact="0" outline="0" showAll="0" defaultSubtotal="0"/>
    <pivotField compact="0" outline="0" showAll="0" defaultSubtotal="0"/>
    <pivotField compact="0" outline="0" showAll="0"/>
    <pivotField compact="0" outline="0" showAll="0" defaultSubtotal="0"/>
    <pivotField dataField="1" compact="0" outline="0" showAll="0" defaultSubtotal="0"/>
  </pivotFields>
  <rowFields count="1">
    <field x="1"/>
  </rowFields>
  <rowItems count="18">
    <i>
      <x/>
    </i>
    <i>
      <x v="1"/>
    </i>
    <i>
      <x v="2"/>
    </i>
    <i>
      <x v="3"/>
    </i>
    <i>
      <x v="4"/>
    </i>
    <i>
      <x v="5"/>
    </i>
    <i>
      <x v="6"/>
    </i>
    <i>
      <x v="7"/>
    </i>
    <i>
      <x v="8"/>
    </i>
    <i>
      <x v="9"/>
    </i>
    <i>
      <x v="10"/>
    </i>
    <i>
      <x v="11"/>
    </i>
    <i>
      <x v="12"/>
    </i>
    <i>
      <x v="13"/>
    </i>
    <i>
      <x v="14"/>
    </i>
    <i>
      <x v="15"/>
    </i>
    <i>
      <x v="16"/>
    </i>
    <i>
      <x v="17"/>
    </i>
  </rowItems>
  <colItems count="1">
    <i/>
  </colItems>
  <dataFields count="1">
    <dataField name="Average of Number of Puts" fld="7" subtotal="average" baseField="0" baseItem="0"/>
  </dataFields>
  <chartFormats count="5">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737653-82DF-4BA2-BBDD-1E639650D120}" name="PivotTable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6" firstHeaderRow="1" firstDataRow="1" firstDataCol="1"/>
  <pivotFields count="8">
    <pivotField compact="0" numFmtId="14"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dataField="1" compact="0" outline="0" showAll="0"/>
    <pivotField compact="0" outline="0" showAll="0"/>
  </pivotFields>
  <rowFields count="1">
    <field x="2"/>
  </rowFields>
  <rowItems count="3">
    <i>
      <x/>
    </i>
    <i>
      <x v="1"/>
    </i>
    <i>
      <x v="2"/>
    </i>
  </rowItems>
  <colItems count="1">
    <i/>
  </colItems>
  <dataFields count="1">
    <dataField name="Average of Score" fld="6" subtotal="average" baseField="0" baseItem="0"/>
  </dataFields>
  <chartFormats count="2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2" count="1" selected="0">
            <x v="0"/>
          </reference>
        </references>
      </pivotArea>
    </chartFormat>
    <chartFormat chart="5" format="11">
      <pivotArea type="data" outline="0" fieldPosition="0">
        <references count="2">
          <reference field="4294967294" count="1" selected="0">
            <x v="0"/>
          </reference>
          <reference field="2" count="1" selected="0">
            <x v="1"/>
          </reference>
        </references>
      </pivotArea>
    </chartFormat>
    <chartFormat chart="5" format="12">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0"/>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29D325-3522-48F9-BF02-BDC6C5E3391A}" name="PivotTable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21" firstHeaderRow="1" firstDataRow="1" firstDataCol="1"/>
  <pivotFields count="8">
    <pivotField compact="0" numFmtId="14" outline="0" showAll="0"/>
    <pivotField axis="axisRow" compact="0" outline="0" showAll="0">
      <items count="19">
        <item x="0"/>
        <item x="1"/>
        <item x="2"/>
        <item x="3"/>
        <item x="4"/>
        <item x="5"/>
        <item x="6"/>
        <item x="7"/>
        <item x="8"/>
        <item x="9"/>
        <item x="10"/>
        <item x="11"/>
        <item x="12"/>
        <item x="13"/>
        <item x="14"/>
        <item x="15"/>
        <item x="16"/>
        <item x="17"/>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18">
    <i>
      <x/>
    </i>
    <i>
      <x v="1"/>
    </i>
    <i>
      <x v="2"/>
    </i>
    <i>
      <x v="3"/>
    </i>
    <i>
      <x v="4"/>
    </i>
    <i>
      <x v="5"/>
    </i>
    <i>
      <x v="6"/>
    </i>
    <i>
      <x v="7"/>
    </i>
    <i>
      <x v="8"/>
    </i>
    <i>
      <x v="9"/>
    </i>
    <i>
      <x v="10"/>
    </i>
    <i>
      <x v="11"/>
    </i>
    <i>
      <x v="12"/>
    </i>
    <i>
      <x v="13"/>
    </i>
    <i>
      <x v="14"/>
    </i>
    <i>
      <x v="15"/>
    </i>
    <i>
      <x v="16"/>
    </i>
    <i>
      <x v="17"/>
    </i>
  </rowItems>
  <colItems count="1">
    <i/>
  </colItems>
  <dataFields count="1">
    <dataField name="Average of Score" fld="6" subtotal="average"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B9ADA6-32BA-45B4-8931-B283CD9ACFDA}" name="Table3" displayName="Table3" ref="A1:H91" totalsRowShown="0">
  <autoFilter ref="A1:H91" xr:uid="{11B9ADA6-32BA-45B4-8931-B283CD9ACFDA}"/>
  <tableColumns count="8">
    <tableColumn id="1" xr3:uid="{BBB7E08C-C947-4AC2-A6F8-2AFB0459D735}" name="Round Date"/>
    <tableColumn id="2" xr3:uid="{0F872D7B-D5EF-40E5-925A-EDF1D37393D7}" name="HoleID"/>
    <tableColumn id="3" xr3:uid="{FB80F84C-5149-411B-9BBE-571551BB36AC}" name="Par" dataDxfId="3">
      <calculatedColumnFormula>_xlfn.XLOOKUP(B2, 'Course Table'!A:A, 'Course Table'!B:B)</calculatedColumnFormula>
    </tableColumn>
    <tableColumn id="4" xr3:uid="{DC637A8F-68DF-4C82-8487-69CD8D53C407}" name="Yards" dataDxfId="2">
      <calculatedColumnFormula>_xlfn.XLOOKUP(B2, 'Course Table'!A:A, 'Course Table'!C:C)</calculatedColumnFormula>
    </tableColumn>
    <tableColumn id="5" xr3:uid="{EC37C7C3-1A2D-42CC-B543-063634EF3FBA}" name="Stroke Index" dataDxfId="1">
      <calculatedColumnFormula>_xlfn.XLOOKUP(B2, 'Course Table'!A:A, 'Course Table'!D:D)</calculatedColumnFormula>
    </tableColumn>
    <tableColumn id="6" xr3:uid="{2306BA4C-FC29-4920-ADF0-95BAD4FEE845}" name="Strokes"/>
    <tableColumn id="8" xr3:uid="{F1534CFE-6986-4ABD-902E-65C64AF450D1}" name="Score" dataDxfId="0">
      <calculatedColumnFormula>F2-C2</calculatedColumnFormula>
    </tableColumn>
    <tableColumn id="7" xr3:uid="{138F0693-3A55-4620-A5B5-6C9A9CE36C3B}" name="Number of Put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A97822-C181-446C-AFA8-46734976A7F7}" name="Table4" displayName="Table4" ref="A1:D19" totalsRowShown="0">
  <autoFilter ref="A1:D19" xr:uid="{BEA97822-C181-446C-AFA8-46734976A7F7}"/>
  <tableColumns count="4">
    <tableColumn id="1" xr3:uid="{63346821-6A67-4D5A-8809-6961CF6E947C}" name="HoleID"/>
    <tableColumn id="2" xr3:uid="{8EC9E45F-1594-402E-9D64-2E6E6799C7E9}" name="Par"/>
    <tableColumn id="3" xr3:uid="{B84AFF24-0809-44E4-AB3F-68146B71027B}" name="Yards"/>
    <tableColumn id="4" xr3:uid="{80AC0A54-2585-44FF-94F7-27CDDC4282F6}" name="Stroke Index"/>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7"/>
  <sheetViews>
    <sheetView tabSelected="1" workbookViewId="0">
      <selection activeCell="L14" sqref="L14"/>
    </sheetView>
  </sheetViews>
  <sheetFormatPr defaultRowHeight="15"/>
  <cols>
    <col min="1" max="1" width="9.140625" style="7"/>
    <col min="2" max="2" width="34.85546875" style="7" customWidth="1"/>
    <col min="3" max="4" width="9.140625" style="7"/>
    <col min="5" max="5" width="54.5703125" style="7" customWidth="1"/>
    <col min="6" max="7" width="36.5703125" style="7" bestFit="1" customWidth="1"/>
    <col min="8" max="11" width="9.140625" style="7"/>
    <col min="12" max="12" width="36.5703125" style="7" bestFit="1" customWidth="1"/>
    <col min="13" max="16384" width="9.140625" style="7"/>
  </cols>
  <sheetData>
    <row r="1" spans="2:12" ht="23.25">
      <c r="B1" s="8"/>
      <c r="C1" s="8"/>
      <c r="D1" s="9"/>
    </row>
    <row r="2" spans="2:12" ht="46.5" customHeight="1">
      <c r="B2" s="6" t="s">
        <v>0</v>
      </c>
      <c r="C2" s="11">
        <f>'Avg Score Each Hole'!B22</f>
        <v>24.200000000000003</v>
      </c>
      <c r="D2" s="9"/>
    </row>
    <row r="4" spans="2:12" ht="64.5">
      <c r="B4" s="10" t="s">
        <v>1</v>
      </c>
    </row>
    <row r="12" spans="2:12" ht="75.75" customHeight="1">
      <c r="E12" s="10" t="s">
        <v>2</v>
      </c>
      <c r="G12" s="10" t="s">
        <v>3</v>
      </c>
    </row>
    <row r="14" spans="2:12" ht="178.5">
      <c r="F14" s="10" t="s">
        <v>4</v>
      </c>
      <c r="L14" s="10" t="s">
        <v>5</v>
      </c>
    </row>
    <row r="17" spans="6:6" ht="15.75">
      <c r="F17"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C579-48BF-4498-900F-5E6E8BB21874}">
  <dimension ref="A3:B21"/>
  <sheetViews>
    <sheetView workbookViewId="0">
      <selection activeCell="G3" sqref="G3"/>
    </sheetView>
  </sheetViews>
  <sheetFormatPr defaultRowHeight="15"/>
  <cols>
    <col min="1" max="1" width="9.85546875" bestFit="1" customWidth="1"/>
    <col min="2" max="3" width="24.42578125" bestFit="1" customWidth="1"/>
  </cols>
  <sheetData>
    <row r="3" spans="1:2">
      <c r="A3" s="3" t="s">
        <v>6</v>
      </c>
      <c r="B3" t="s">
        <v>7</v>
      </c>
    </row>
    <row r="4" spans="1:2">
      <c r="A4">
        <v>1</v>
      </c>
      <c r="B4" s="2">
        <v>2.4</v>
      </c>
    </row>
    <row r="5" spans="1:2">
      <c r="A5">
        <v>2</v>
      </c>
      <c r="B5" s="2">
        <v>2.4</v>
      </c>
    </row>
    <row r="6" spans="1:2">
      <c r="A6">
        <v>3</v>
      </c>
      <c r="B6" s="2">
        <v>1.6</v>
      </c>
    </row>
    <row r="7" spans="1:2">
      <c r="A7">
        <v>4</v>
      </c>
      <c r="B7" s="2">
        <v>2</v>
      </c>
    </row>
    <row r="8" spans="1:2">
      <c r="A8">
        <v>5</v>
      </c>
      <c r="B8" s="2">
        <v>2</v>
      </c>
    </row>
    <row r="9" spans="1:2">
      <c r="A9">
        <v>6</v>
      </c>
      <c r="B9" s="2">
        <v>2.2000000000000002</v>
      </c>
    </row>
    <row r="10" spans="1:2">
      <c r="A10">
        <v>7</v>
      </c>
      <c r="B10" s="2">
        <v>1.8</v>
      </c>
    </row>
    <row r="11" spans="1:2">
      <c r="A11">
        <v>8</v>
      </c>
      <c r="B11" s="2">
        <v>1.8</v>
      </c>
    </row>
    <row r="12" spans="1:2">
      <c r="A12">
        <v>9</v>
      </c>
      <c r="B12" s="2">
        <v>2.4</v>
      </c>
    </row>
    <row r="13" spans="1:2">
      <c r="A13">
        <v>10</v>
      </c>
      <c r="B13" s="2">
        <v>1.8</v>
      </c>
    </row>
    <row r="14" spans="1:2">
      <c r="A14">
        <v>11</v>
      </c>
      <c r="B14" s="2">
        <v>1.8</v>
      </c>
    </row>
    <row r="15" spans="1:2">
      <c r="A15">
        <v>12</v>
      </c>
      <c r="B15" s="2">
        <v>2</v>
      </c>
    </row>
    <row r="16" spans="1:2">
      <c r="A16">
        <v>13</v>
      </c>
      <c r="B16" s="2">
        <v>2.4</v>
      </c>
    </row>
    <row r="17" spans="1:2">
      <c r="A17">
        <v>14</v>
      </c>
      <c r="B17" s="2">
        <v>1.8</v>
      </c>
    </row>
    <row r="18" spans="1:2">
      <c r="A18">
        <v>15</v>
      </c>
      <c r="B18" s="2">
        <v>2.4</v>
      </c>
    </row>
    <row r="19" spans="1:2">
      <c r="A19">
        <v>16</v>
      </c>
      <c r="B19" s="2">
        <v>1.8</v>
      </c>
    </row>
    <row r="20" spans="1:2">
      <c r="A20">
        <v>17</v>
      </c>
      <c r="B20" s="2">
        <v>1.8</v>
      </c>
    </row>
    <row r="21" spans="1:2">
      <c r="A21">
        <v>18</v>
      </c>
      <c r="B21" s="2">
        <v>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2C64-DB73-474C-9BC0-3D68C84058E5}">
  <dimension ref="A3:B6"/>
  <sheetViews>
    <sheetView workbookViewId="0">
      <selection activeCell="C17" sqref="C17"/>
    </sheetView>
  </sheetViews>
  <sheetFormatPr defaultRowHeight="15"/>
  <cols>
    <col min="1" max="1" width="6.85546875" bestFit="1" customWidth="1"/>
    <col min="2" max="2" width="15.5703125" bestFit="1" customWidth="1"/>
  </cols>
  <sheetData>
    <row r="3" spans="1:2">
      <c r="A3" s="3" t="s">
        <v>8</v>
      </c>
      <c r="B3" t="s">
        <v>9</v>
      </c>
    </row>
    <row r="4" spans="1:2">
      <c r="A4">
        <v>3</v>
      </c>
      <c r="B4" s="2">
        <v>1.28</v>
      </c>
    </row>
    <row r="5" spans="1:2">
      <c r="A5">
        <v>4</v>
      </c>
      <c r="B5" s="2">
        <v>1.4</v>
      </c>
    </row>
    <row r="6" spans="1:2">
      <c r="A6">
        <v>5</v>
      </c>
      <c r="B6" s="2">
        <v>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F083-68C5-4EDF-8E63-5F21164ED662}">
  <dimension ref="A3:B22"/>
  <sheetViews>
    <sheetView workbookViewId="0">
      <selection activeCell="E3" sqref="E3"/>
    </sheetView>
  </sheetViews>
  <sheetFormatPr defaultRowHeight="15"/>
  <cols>
    <col min="1" max="1" width="9.85546875" bestFit="1" customWidth="1"/>
    <col min="2" max="2" width="15.5703125" bestFit="1" customWidth="1"/>
  </cols>
  <sheetData>
    <row r="3" spans="1:2">
      <c r="A3" s="3" t="s">
        <v>6</v>
      </c>
      <c r="B3" t="s">
        <v>9</v>
      </c>
    </row>
    <row r="4" spans="1:2">
      <c r="A4">
        <v>1</v>
      </c>
      <c r="B4" s="2">
        <v>1.2</v>
      </c>
    </row>
    <row r="5" spans="1:2">
      <c r="A5">
        <v>2</v>
      </c>
      <c r="B5" s="2">
        <v>1.6</v>
      </c>
    </row>
    <row r="6" spans="1:2">
      <c r="A6">
        <v>3</v>
      </c>
      <c r="B6" s="2">
        <v>1</v>
      </c>
    </row>
    <row r="7" spans="1:2">
      <c r="A7">
        <v>4</v>
      </c>
      <c r="B7" s="2">
        <v>1.6</v>
      </c>
    </row>
    <row r="8" spans="1:2">
      <c r="A8">
        <v>5</v>
      </c>
      <c r="B8" s="2">
        <v>1.2</v>
      </c>
    </row>
    <row r="9" spans="1:2">
      <c r="A9">
        <v>6</v>
      </c>
      <c r="B9" s="2">
        <v>1.8</v>
      </c>
    </row>
    <row r="10" spans="1:2">
      <c r="A10">
        <v>7</v>
      </c>
      <c r="B10" s="2">
        <v>1.4</v>
      </c>
    </row>
    <row r="11" spans="1:2">
      <c r="A11">
        <v>8</v>
      </c>
      <c r="B11" s="2">
        <v>1.4</v>
      </c>
    </row>
    <row r="12" spans="1:2">
      <c r="A12">
        <v>9</v>
      </c>
      <c r="B12" s="2">
        <v>1.8</v>
      </c>
    </row>
    <row r="13" spans="1:2">
      <c r="A13">
        <v>10</v>
      </c>
      <c r="B13" s="2">
        <v>0.8</v>
      </c>
    </row>
    <row r="14" spans="1:2">
      <c r="A14">
        <v>11</v>
      </c>
      <c r="B14" s="2">
        <v>1.6</v>
      </c>
    </row>
    <row r="15" spans="1:2">
      <c r="A15">
        <v>12</v>
      </c>
      <c r="B15" s="2">
        <v>1.8</v>
      </c>
    </row>
    <row r="16" spans="1:2">
      <c r="A16">
        <v>13</v>
      </c>
      <c r="B16" s="2">
        <v>1.4</v>
      </c>
    </row>
    <row r="17" spans="1:2">
      <c r="A17">
        <v>14</v>
      </c>
      <c r="B17" s="2">
        <v>1</v>
      </c>
    </row>
    <row r="18" spans="1:2">
      <c r="A18">
        <v>15</v>
      </c>
      <c r="B18" s="2">
        <v>2.2000000000000002</v>
      </c>
    </row>
    <row r="19" spans="1:2">
      <c r="A19">
        <v>16</v>
      </c>
      <c r="B19" s="2">
        <v>0.8</v>
      </c>
    </row>
    <row r="20" spans="1:2">
      <c r="A20">
        <v>17</v>
      </c>
      <c r="B20" s="2">
        <v>0.8</v>
      </c>
    </row>
    <row r="21" spans="1:2">
      <c r="A21">
        <v>18</v>
      </c>
      <c r="B21" s="2">
        <v>0.8</v>
      </c>
    </row>
    <row r="22" spans="1:2">
      <c r="A22" s="5" t="s">
        <v>10</v>
      </c>
      <c r="B22" s="5">
        <f>SUM(B4:B21)</f>
        <v>24.200000000000003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17E6-2F05-4436-84E5-87E3C4AF003E}">
  <dimension ref="A1:H91"/>
  <sheetViews>
    <sheetView workbookViewId="0">
      <selection activeCell="J1" sqref="J1"/>
    </sheetView>
  </sheetViews>
  <sheetFormatPr defaultRowHeight="15"/>
  <cols>
    <col min="1" max="1" width="13.7109375" bestFit="1" customWidth="1"/>
    <col min="4" max="4" width="11.7109375" bestFit="1" customWidth="1"/>
    <col min="5" max="5" width="14.28515625" bestFit="1" customWidth="1"/>
    <col min="6" max="6" width="9.7109375" bestFit="1" customWidth="1"/>
    <col min="7" max="7" width="9.7109375" customWidth="1"/>
    <col min="8" max="8" width="17.140625" bestFit="1" customWidth="1"/>
  </cols>
  <sheetData>
    <row r="1" spans="1:8">
      <c r="A1" t="s">
        <v>11</v>
      </c>
      <c r="B1" t="s">
        <v>6</v>
      </c>
      <c r="C1" t="s">
        <v>8</v>
      </c>
      <c r="D1" t="s">
        <v>12</v>
      </c>
      <c r="E1" t="s">
        <v>13</v>
      </c>
      <c r="F1" t="s">
        <v>14</v>
      </c>
      <c r="G1" s="4" t="s">
        <v>15</v>
      </c>
      <c r="H1" t="s">
        <v>16</v>
      </c>
    </row>
    <row r="2" spans="1:8">
      <c r="A2" s="1">
        <v>46143</v>
      </c>
      <c r="B2">
        <v>1</v>
      </c>
      <c r="C2">
        <f>_xlfn.XLOOKUP(B2, 'Course Table'!A:A, 'Course Table'!B:B)</f>
        <v>5</v>
      </c>
      <c r="D2">
        <f>_xlfn.XLOOKUP(B2, 'Course Table'!A:A, 'Course Table'!C:C)</f>
        <v>446</v>
      </c>
      <c r="E2">
        <f>_xlfn.XLOOKUP(B2, 'Course Table'!A:A, 'Course Table'!D:D)</f>
        <v>11</v>
      </c>
      <c r="F2">
        <v>7</v>
      </c>
      <c r="G2">
        <f t="shared" ref="G2:G33" si="0">F2-C2</f>
        <v>2</v>
      </c>
      <c r="H2">
        <v>3</v>
      </c>
    </row>
    <row r="3" spans="1:8">
      <c r="A3" s="1">
        <f>A2</f>
        <v>46143</v>
      </c>
      <c r="B3">
        <v>2</v>
      </c>
      <c r="C3">
        <f>_xlfn.XLOOKUP(B3, 'Course Table'!A:A, 'Course Table'!B:B)</f>
        <v>3</v>
      </c>
      <c r="D3">
        <f>_xlfn.XLOOKUP(B3, 'Course Table'!A:A, 'Course Table'!C:C)</f>
        <v>178</v>
      </c>
      <c r="E3">
        <f>_xlfn.XLOOKUP(B3, 'Course Table'!A:A, 'Course Table'!D:D)</f>
        <v>7</v>
      </c>
      <c r="F3">
        <v>5</v>
      </c>
      <c r="G3">
        <f t="shared" si="0"/>
        <v>2</v>
      </c>
      <c r="H3">
        <v>2</v>
      </c>
    </row>
    <row r="4" spans="1:8">
      <c r="A4" s="1">
        <f t="shared" ref="A4:A19" si="1">A3</f>
        <v>46143</v>
      </c>
      <c r="B4">
        <v>3</v>
      </c>
      <c r="C4">
        <f>_xlfn.XLOOKUP(B4, 'Course Table'!A:A, 'Course Table'!B:B)</f>
        <v>4</v>
      </c>
      <c r="D4">
        <f>_xlfn.XLOOKUP(B4, 'Course Table'!A:A, 'Course Table'!C:C)</f>
        <v>370</v>
      </c>
      <c r="E4">
        <f>_xlfn.XLOOKUP(B4, 'Course Table'!A:A, 'Course Table'!D:D)</f>
        <v>5</v>
      </c>
      <c r="F4">
        <v>4</v>
      </c>
      <c r="G4">
        <f t="shared" si="0"/>
        <v>0</v>
      </c>
      <c r="H4">
        <v>1</v>
      </c>
    </row>
    <row r="5" spans="1:8">
      <c r="A5" s="1">
        <f t="shared" si="1"/>
        <v>46143</v>
      </c>
      <c r="B5">
        <v>4</v>
      </c>
      <c r="C5">
        <f>_xlfn.XLOOKUP(B5, 'Course Table'!A:A, 'Course Table'!B:B)</f>
        <v>4</v>
      </c>
      <c r="D5">
        <f>_xlfn.XLOOKUP(B5, 'Course Table'!A:A, 'Course Table'!C:C)</f>
        <v>379</v>
      </c>
      <c r="E5">
        <f>_xlfn.XLOOKUP(B5, 'Course Table'!A:A, 'Course Table'!D:D)</f>
        <v>13</v>
      </c>
      <c r="F5">
        <v>5</v>
      </c>
      <c r="G5">
        <f t="shared" si="0"/>
        <v>1</v>
      </c>
      <c r="H5">
        <v>2</v>
      </c>
    </row>
    <row r="6" spans="1:8">
      <c r="A6" s="1">
        <f t="shared" si="1"/>
        <v>46143</v>
      </c>
      <c r="B6">
        <v>5</v>
      </c>
      <c r="C6">
        <f>_xlfn.XLOOKUP(B6, 'Course Table'!A:A, 'Course Table'!B:B)</f>
        <v>5</v>
      </c>
      <c r="D6">
        <f>_xlfn.XLOOKUP(B6, 'Course Table'!A:A, 'Course Table'!C:C)</f>
        <v>519</v>
      </c>
      <c r="E6">
        <f>_xlfn.XLOOKUP(B6, 'Course Table'!A:A, 'Course Table'!D:D)</f>
        <v>1</v>
      </c>
      <c r="F6">
        <v>7</v>
      </c>
      <c r="G6">
        <f t="shared" si="0"/>
        <v>2</v>
      </c>
      <c r="H6">
        <v>3</v>
      </c>
    </row>
    <row r="7" spans="1:8">
      <c r="A7" s="1">
        <f t="shared" si="1"/>
        <v>46143</v>
      </c>
      <c r="B7">
        <v>6</v>
      </c>
      <c r="C7">
        <f>_xlfn.XLOOKUP(B7, 'Course Table'!A:A, 'Course Table'!B:B)</f>
        <v>3</v>
      </c>
      <c r="D7">
        <f>_xlfn.XLOOKUP(B7, 'Course Table'!A:A, 'Course Table'!C:C)</f>
        <v>154</v>
      </c>
      <c r="E7">
        <f>_xlfn.XLOOKUP(B7, 'Course Table'!A:A, 'Course Table'!D:D)</f>
        <v>17</v>
      </c>
      <c r="F7">
        <v>6</v>
      </c>
      <c r="G7">
        <f t="shared" si="0"/>
        <v>3</v>
      </c>
      <c r="H7">
        <v>2</v>
      </c>
    </row>
    <row r="8" spans="1:8">
      <c r="A8" s="1">
        <f t="shared" si="1"/>
        <v>46143</v>
      </c>
      <c r="B8">
        <v>7</v>
      </c>
      <c r="C8">
        <f>_xlfn.XLOOKUP(B8, 'Course Table'!A:A, 'Course Table'!B:B)</f>
        <v>4</v>
      </c>
      <c r="D8">
        <f>_xlfn.XLOOKUP(B8, 'Course Table'!A:A, 'Course Table'!C:C)</f>
        <v>262</v>
      </c>
      <c r="E8">
        <f>_xlfn.XLOOKUP(B8, 'Course Table'!A:A, 'Course Table'!D:D)</f>
        <v>15</v>
      </c>
      <c r="F8">
        <v>6</v>
      </c>
      <c r="G8">
        <f t="shared" si="0"/>
        <v>2</v>
      </c>
      <c r="H8">
        <v>2</v>
      </c>
    </row>
    <row r="9" spans="1:8">
      <c r="A9" s="1">
        <f t="shared" si="1"/>
        <v>46143</v>
      </c>
      <c r="B9">
        <v>8</v>
      </c>
      <c r="C9">
        <f>_xlfn.XLOOKUP(B9, 'Course Table'!A:A, 'Course Table'!B:B)</f>
        <v>4</v>
      </c>
      <c r="D9">
        <f>_xlfn.XLOOKUP(B9, 'Course Table'!A:A, 'Course Table'!C:C)</f>
        <v>407</v>
      </c>
      <c r="E9">
        <f>_xlfn.XLOOKUP(B9, 'Course Table'!A:A, 'Course Table'!D:D)</f>
        <v>3</v>
      </c>
      <c r="F9">
        <v>5</v>
      </c>
      <c r="G9">
        <f t="shared" si="0"/>
        <v>1</v>
      </c>
      <c r="H9">
        <v>1</v>
      </c>
    </row>
    <row r="10" spans="1:8">
      <c r="A10" s="1">
        <f t="shared" si="1"/>
        <v>46143</v>
      </c>
      <c r="B10">
        <v>9</v>
      </c>
      <c r="C10">
        <f>_xlfn.XLOOKUP(B10, 'Course Table'!A:A, 'Course Table'!B:B)</f>
        <v>5</v>
      </c>
      <c r="D10">
        <f>_xlfn.XLOOKUP(B10, 'Course Table'!A:A, 'Course Table'!C:C)</f>
        <v>452</v>
      </c>
      <c r="E10">
        <f>_xlfn.XLOOKUP(B10, 'Course Table'!A:A, 'Course Table'!D:D)</f>
        <v>9</v>
      </c>
      <c r="F10">
        <v>8</v>
      </c>
      <c r="G10">
        <f t="shared" si="0"/>
        <v>3</v>
      </c>
      <c r="H10">
        <v>4</v>
      </c>
    </row>
    <row r="11" spans="1:8">
      <c r="A11" s="1">
        <f t="shared" si="1"/>
        <v>46143</v>
      </c>
      <c r="B11">
        <v>10</v>
      </c>
      <c r="C11">
        <f>_xlfn.XLOOKUP(B11, 'Course Table'!A:A, 'Course Table'!B:B)</f>
        <v>3</v>
      </c>
      <c r="D11">
        <f>_xlfn.XLOOKUP(B11, 'Course Table'!A:A, 'Course Table'!C:C)</f>
        <v>187</v>
      </c>
      <c r="E11">
        <f>_xlfn.XLOOKUP(B11, 'Course Table'!A:A, 'Course Table'!D:D)</f>
        <v>12</v>
      </c>
      <c r="F11">
        <v>4</v>
      </c>
      <c r="G11">
        <f t="shared" si="0"/>
        <v>1</v>
      </c>
      <c r="H11">
        <v>2</v>
      </c>
    </row>
    <row r="12" spans="1:8">
      <c r="A12" s="1">
        <f t="shared" si="1"/>
        <v>46143</v>
      </c>
      <c r="B12">
        <v>11</v>
      </c>
      <c r="C12">
        <f>_xlfn.XLOOKUP(B12, 'Course Table'!A:A, 'Course Table'!B:B)</f>
        <v>4</v>
      </c>
      <c r="D12">
        <f>_xlfn.XLOOKUP(B12, 'Course Table'!A:A, 'Course Table'!C:C)</f>
        <v>369</v>
      </c>
      <c r="E12">
        <f>_xlfn.XLOOKUP(B12, 'Course Table'!A:A, 'Course Table'!D:D)</f>
        <v>4</v>
      </c>
      <c r="F12">
        <v>6</v>
      </c>
      <c r="G12">
        <f t="shared" si="0"/>
        <v>2</v>
      </c>
      <c r="H12">
        <v>3</v>
      </c>
    </row>
    <row r="13" spans="1:8">
      <c r="A13" s="1">
        <f t="shared" si="1"/>
        <v>46143</v>
      </c>
      <c r="B13">
        <v>12</v>
      </c>
      <c r="C13">
        <f>_xlfn.XLOOKUP(B13, 'Course Table'!A:A, 'Course Table'!B:B)</f>
        <v>4</v>
      </c>
      <c r="D13">
        <f>_xlfn.XLOOKUP(B13, 'Course Table'!A:A, 'Course Table'!C:C)</f>
        <v>346</v>
      </c>
      <c r="E13">
        <f>_xlfn.XLOOKUP(B13, 'Course Table'!A:A, 'Course Table'!D:D)</f>
        <v>8</v>
      </c>
      <c r="F13">
        <v>6</v>
      </c>
      <c r="G13">
        <f t="shared" si="0"/>
        <v>2</v>
      </c>
      <c r="H13">
        <v>2</v>
      </c>
    </row>
    <row r="14" spans="1:8">
      <c r="A14" s="1">
        <f t="shared" si="1"/>
        <v>46143</v>
      </c>
      <c r="B14">
        <v>13</v>
      </c>
      <c r="C14">
        <f>_xlfn.XLOOKUP(B14, 'Course Table'!A:A, 'Course Table'!B:B)</f>
        <v>3</v>
      </c>
      <c r="D14">
        <f>_xlfn.XLOOKUP(B14, 'Course Table'!A:A, 'Course Table'!C:C)</f>
        <v>159</v>
      </c>
      <c r="E14">
        <f>_xlfn.XLOOKUP(B14, 'Course Table'!A:A, 'Course Table'!D:D)</f>
        <v>18</v>
      </c>
      <c r="F14">
        <v>4</v>
      </c>
      <c r="G14">
        <f t="shared" si="0"/>
        <v>1</v>
      </c>
      <c r="H14">
        <v>1</v>
      </c>
    </row>
    <row r="15" spans="1:8">
      <c r="A15" s="1">
        <f t="shared" si="1"/>
        <v>46143</v>
      </c>
      <c r="B15">
        <v>14</v>
      </c>
      <c r="C15">
        <f>_xlfn.XLOOKUP(B15, 'Course Table'!A:A, 'Course Table'!B:B)</f>
        <v>5</v>
      </c>
      <c r="D15">
        <f>_xlfn.XLOOKUP(B15, 'Course Table'!A:A, 'Course Table'!C:C)</f>
        <v>494</v>
      </c>
      <c r="E15">
        <f>_xlfn.XLOOKUP(B15, 'Course Table'!A:A, 'Course Table'!D:D)</f>
        <v>2</v>
      </c>
      <c r="F15">
        <v>5</v>
      </c>
      <c r="G15">
        <f t="shared" si="0"/>
        <v>0</v>
      </c>
      <c r="H15">
        <v>1</v>
      </c>
    </row>
    <row r="16" spans="1:8">
      <c r="A16" s="1">
        <f t="shared" si="1"/>
        <v>46143</v>
      </c>
      <c r="B16">
        <v>15</v>
      </c>
      <c r="C16">
        <f>_xlfn.XLOOKUP(B16, 'Course Table'!A:A, 'Course Table'!B:B)</f>
        <v>4</v>
      </c>
      <c r="D16">
        <f>_xlfn.XLOOKUP(B16, 'Course Table'!A:A, 'Course Table'!C:C)</f>
        <v>277</v>
      </c>
      <c r="E16">
        <f>_xlfn.XLOOKUP(B16, 'Course Table'!A:A, 'Course Table'!D:D)</f>
        <v>14</v>
      </c>
      <c r="F16">
        <v>6</v>
      </c>
      <c r="G16">
        <f t="shared" si="0"/>
        <v>2</v>
      </c>
      <c r="H16">
        <v>2</v>
      </c>
    </row>
    <row r="17" spans="1:8">
      <c r="A17" s="1">
        <f t="shared" si="1"/>
        <v>46143</v>
      </c>
      <c r="B17">
        <v>16</v>
      </c>
      <c r="C17">
        <f>_xlfn.XLOOKUP(B17, 'Course Table'!A:A, 'Course Table'!B:B)</f>
        <v>4</v>
      </c>
      <c r="D17">
        <f>_xlfn.XLOOKUP(B17, 'Course Table'!A:A, 'Course Table'!C:C)</f>
        <v>325</v>
      </c>
      <c r="E17">
        <f>_xlfn.XLOOKUP(B17, 'Course Table'!A:A, 'Course Table'!D:D)</f>
        <v>6</v>
      </c>
      <c r="F17">
        <v>5</v>
      </c>
      <c r="G17">
        <f t="shared" si="0"/>
        <v>1</v>
      </c>
      <c r="H17">
        <v>1</v>
      </c>
    </row>
    <row r="18" spans="1:8">
      <c r="A18" s="1">
        <f t="shared" si="1"/>
        <v>46143</v>
      </c>
      <c r="B18">
        <v>17</v>
      </c>
      <c r="C18">
        <f>_xlfn.XLOOKUP(B18, 'Course Table'!A:A, 'Course Table'!B:B)</f>
        <v>3</v>
      </c>
      <c r="D18">
        <f>_xlfn.XLOOKUP(B18, 'Course Table'!A:A, 'Course Table'!C:C)</f>
        <v>169</v>
      </c>
      <c r="E18">
        <f>_xlfn.XLOOKUP(B18, 'Course Table'!A:A, 'Course Table'!D:D)</f>
        <v>16</v>
      </c>
      <c r="F18">
        <v>4</v>
      </c>
      <c r="G18">
        <f t="shared" si="0"/>
        <v>1</v>
      </c>
      <c r="H18">
        <v>2</v>
      </c>
    </row>
    <row r="19" spans="1:8">
      <c r="A19" s="1">
        <f t="shared" si="1"/>
        <v>46143</v>
      </c>
      <c r="B19">
        <v>18</v>
      </c>
      <c r="C19">
        <f>_xlfn.XLOOKUP(B19, 'Course Table'!A:A, 'Course Table'!B:B)</f>
        <v>4</v>
      </c>
      <c r="D19">
        <f>_xlfn.XLOOKUP(B19, 'Course Table'!A:A, 'Course Table'!C:C)</f>
        <v>338</v>
      </c>
      <c r="E19">
        <f>_xlfn.XLOOKUP(B19, 'Course Table'!A:A, 'Course Table'!D:D)</f>
        <v>10</v>
      </c>
      <c r="F19">
        <v>4</v>
      </c>
      <c r="G19">
        <f t="shared" si="0"/>
        <v>0</v>
      </c>
      <c r="H19">
        <v>1</v>
      </c>
    </row>
    <row r="20" spans="1:8">
      <c r="A20" s="1">
        <v>46149</v>
      </c>
      <c r="B20">
        <v>1</v>
      </c>
      <c r="C20" s="2">
        <f>_xlfn.XLOOKUP(B20, 'Course Table'!A:A, 'Course Table'!B:B)</f>
        <v>5</v>
      </c>
      <c r="D20" s="2">
        <f>_xlfn.XLOOKUP(B20, 'Course Table'!A:A, 'Course Table'!C:C)</f>
        <v>446</v>
      </c>
      <c r="E20" s="2">
        <f>_xlfn.XLOOKUP(B20, 'Course Table'!A:A, 'Course Table'!D:D)</f>
        <v>11</v>
      </c>
      <c r="F20">
        <v>6</v>
      </c>
      <c r="G20">
        <f t="shared" si="0"/>
        <v>1</v>
      </c>
      <c r="H20">
        <v>2</v>
      </c>
    </row>
    <row r="21" spans="1:8">
      <c r="A21" s="1">
        <f>A20</f>
        <v>46149</v>
      </c>
      <c r="B21">
        <v>2</v>
      </c>
      <c r="C21" s="2">
        <f>_xlfn.XLOOKUP(B21, 'Course Table'!A:A, 'Course Table'!B:B)</f>
        <v>3</v>
      </c>
      <c r="D21" s="2">
        <f>_xlfn.XLOOKUP(B21, 'Course Table'!A:A, 'Course Table'!C:C)</f>
        <v>178</v>
      </c>
      <c r="E21" s="2">
        <f>_xlfn.XLOOKUP(B21, 'Course Table'!A:A, 'Course Table'!D:D)</f>
        <v>7</v>
      </c>
      <c r="F21">
        <v>5</v>
      </c>
      <c r="G21">
        <f t="shared" si="0"/>
        <v>2</v>
      </c>
      <c r="H21">
        <v>3</v>
      </c>
    </row>
    <row r="22" spans="1:8">
      <c r="A22" s="1">
        <f t="shared" ref="A22:A37" si="2">A21</f>
        <v>46149</v>
      </c>
      <c r="B22">
        <v>3</v>
      </c>
      <c r="C22" s="2">
        <f>_xlfn.XLOOKUP(B22, 'Course Table'!A:A, 'Course Table'!B:B)</f>
        <v>4</v>
      </c>
      <c r="D22" s="2">
        <f>_xlfn.XLOOKUP(B22, 'Course Table'!A:A, 'Course Table'!C:C)</f>
        <v>370</v>
      </c>
      <c r="E22" s="2">
        <f>_xlfn.XLOOKUP(B22, 'Course Table'!A:A, 'Course Table'!D:D)</f>
        <v>5</v>
      </c>
      <c r="F22">
        <v>5</v>
      </c>
      <c r="G22">
        <f t="shared" si="0"/>
        <v>1</v>
      </c>
      <c r="H22">
        <v>1</v>
      </c>
    </row>
    <row r="23" spans="1:8">
      <c r="A23" s="1">
        <f t="shared" si="2"/>
        <v>46149</v>
      </c>
      <c r="B23">
        <v>4</v>
      </c>
      <c r="C23" s="2">
        <f>_xlfn.XLOOKUP(B23, 'Course Table'!A:A, 'Course Table'!B:B)</f>
        <v>4</v>
      </c>
      <c r="D23" s="2">
        <f>_xlfn.XLOOKUP(B23, 'Course Table'!A:A, 'Course Table'!C:C)</f>
        <v>379</v>
      </c>
      <c r="E23" s="2">
        <f>_xlfn.XLOOKUP(B23, 'Course Table'!A:A, 'Course Table'!D:D)</f>
        <v>13</v>
      </c>
      <c r="F23">
        <v>6</v>
      </c>
      <c r="G23">
        <f t="shared" si="0"/>
        <v>2</v>
      </c>
      <c r="H23">
        <v>2</v>
      </c>
    </row>
    <row r="24" spans="1:8">
      <c r="A24" s="1">
        <f t="shared" si="2"/>
        <v>46149</v>
      </c>
      <c r="B24">
        <v>5</v>
      </c>
      <c r="C24" s="2">
        <f>_xlfn.XLOOKUP(B24, 'Course Table'!A:A, 'Course Table'!B:B)</f>
        <v>5</v>
      </c>
      <c r="D24" s="2">
        <f>_xlfn.XLOOKUP(B24, 'Course Table'!A:A, 'Course Table'!C:C)</f>
        <v>519</v>
      </c>
      <c r="E24" s="2">
        <f>_xlfn.XLOOKUP(B24, 'Course Table'!A:A, 'Course Table'!D:D)</f>
        <v>1</v>
      </c>
      <c r="F24">
        <v>6</v>
      </c>
      <c r="G24">
        <f t="shared" si="0"/>
        <v>1</v>
      </c>
      <c r="H24">
        <v>2</v>
      </c>
    </row>
    <row r="25" spans="1:8">
      <c r="A25" s="1">
        <f t="shared" si="2"/>
        <v>46149</v>
      </c>
      <c r="B25">
        <v>6</v>
      </c>
      <c r="C25" s="2">
        <f>_xlfn.XLOOKUP(B25, 'Course Table'!A:A, 'Course Table'!B:B)</f>
        <v>3</v>
      </c>
      <c r="D25" s="2">
        <f>_xlfn.XLOOKUP(B25, 'Course Table'!A:A, 'Course Table'!C:C)</f>
        <v>154</v>
      </c>
      <c r="E25" s="2">
        <f>_xlfn.XLOOKUP(B25, 'Course Table'!A:A, 'Course Table'!D:D)</f>
        <v>17</v>
      </c>
      <c r="F25">
        <v>4</v>
      </c>
      <c r="G25">
        <f t="shared" si="0"/>
        <v>1</v>
      </c>
      <c r="H25">
        <v>2</v>
      </c>
    </row>
    <row r="26" spans="1:8">
      <c r="A26" s="1">
        <f t="shared" si="2"/>
        <v>46149</v>
      </c>
      <c r="B26">
        <v>7</v>
      </c>
      <c r="C26" s="2">
        <f>_xlfn.XLOOKUP(B26, 'Course Table'!A:A, 'Course Table'!B:B)</f>
        <v>4</v>
      </c>
      <c r="D26" s="2">
        <f>_xlfn.XLOOKUP(B26, 'Course Table'!A:A, 'Course Table'!C:C)</f>
        <v>262</v>
      </c>
      <c r="E26" s="2">
        <f>_xlfn.XLOOKUP(B26, 'Course Table'!A:A, 'Course Table'!D:D)</f>
        <v>15</v>
      </c>
      <c r="F26">
        <v>6</v>
      </c>
      <c r="G26">
        <f t="shared" si="0"/>
        <v>2</v>
      </c>
      <c r="H26">
        <v>2</v>
      </c>
    </row>
    <row r="27" spans="1:8">
      <c r="A27" s="1">
        <f t="shared" si="2"/>
        <v>46149</v>
      </c>
      <c r="B27">
        <v>8</v>
      </c>
      <c r="C27" s="2">
        <f>_xlfn.XLOOKUP(B27, 'Course Table'!A:A, 'Course Table'!B:B)</f>
        <v>4</v>
      </c>
      <c r="D27" s="2">
        <f>_xlfn.XLOOKUP(B27, 'Course Table'!A:A, 'Course Table'!C:C)</f>
        <v>407</v>
      </c>
      <c r="E27" s="2">
        <f>_xlfn.XLOOKUP(B27, 'Course Table'!A:A, 'Course Table'!D:D)</f>
        <v>3</v>
      </c>
      <c r="F27">
        <v>7</v>
      </c>
      <c r="G27">
        <f t="shared" si="0"/>
        <v>3</v>
      </c>
      <c r="H27">
        <v>3</v>
      </c>
    </row>
    <row r="28" spans="1:8">
      <c r="A28" s="1">
        <f t="shared" si="2"/>
        <v>46149</v>
      </c>
      <c r="B28">
        <v>9</v>
      </c>
      <c r="C28" s="2">
        <f>_xlfn.XLOOKUP(B28, 'Course Table'!A:A, 'Course Table'!B:B)</f>
        <v>5</v>
      </c>
      <c r="D28" s="2">
        <f>_xlfn.XLOOKUP(B28, 'Course Table'!A:A, 'Course Table'!C:C)</f>
        <v>452</v>
      </c>
      <c r="E28" s="2">
        <f>_xlfn.XLOOKUP(B28, 'Course Table'!A:A, 'Course Table'!D:D)</f>
        <v>9</v>
      </c>
      <c r="F28">
        <v>7</v>
      </c>
      <c r="G28">
        <f t="shared" si="0"/>
        <v>2</v>
      </c>
      <c r="H28">
        <v>2</v>
      </c>
    </row>
    <row r="29" spans="1:8">
      <c r="A29" s="1">
        <f t="shared" si="2"/>
        <v>46149</v>
      </c>
      <c r="B29">
        <v>10</v>
      </c>
      <c r="C29" s="2">
        <f>_xlfn.XLOOKUP(B29, 'Course Table'!A:A, 'Course Table'!B:B)</f>
        <v>3</v>
      </c>
      <c r="D29" s="2">
        <f>_xlfn.XLOOKUP(B29, 'Course Table'!A:A, 'Course Table'!C:C)</f>
        <v>187</v>
      </c>
      <c r="E29" s="2">
        <f>_xlfn.XLOOKUP(B29, 'Course Table'!A:A, 'Course Table'!D:D)</f>
        <v>12</v>
      </c>
      <c r="F29">
        <v>3</v>
      </c>
      <c r="G29">
        <f t="shared" si="0"/>
        <v>0</v>
      </c>
      <c r="H29">
        <v>1</v>
      </c>
    </row>
    <row r="30" spans="1:8">
      <c r="A30" s="1">
        <f t="shared" si="2"/>
        <v>46149</v>
      </c>
      <c r="B30">
        <v>11</v>
      </c>
      <c r="C30" s="2">
        <f>_xlfn.XLOOKUP(B30, 'Course Table'!A:A, 'Course Table'!B:B)</f>
        <v>4</v>
      </c>
      <c r="D30" s="2">
        <f>_xlfn.XLOOKUP(B30, 'Course Table'!A:A, 'Course Table'!C:C)</f>
        <v>369</v>
      </c>
      <c r="E30" s="2">
        <f>_xlfn.XLOOKUP(B30, 'Course Table'!A:A, 'Course Table'!D:D)</f>
        <v>4</v>
      </c>
      <c r="F30">
        <v>6</v>
      </c>
      <c r="G30">
        <f t="shared" si="0"/>
        <v>2</v>
      </c>
      <c r="H30">
        <v>1</v>
      </c>
    </row>
    <row r="31" spans="1:8">
      <c r="A31" s="1">
        <f t="shared" si="2"/>
        <v>46149</v>
      </c>
      <c r="B31">
        <v>12</v>
      </c>
      <c r="C31" s="2">
        <f>_xlfn.XLOOKUP(B31, 'Course Table'!A:A, 'Course Table'!B:B)</f>
        <v>4</v>
      </c>
      <c r="D31" s="2">
        <f>_xlfn.XLOOKUP(B31, 'Course Table'!A:A, 'Course Table'!C:C)</f>
        <v>346</v>
      </c>
      <c r="E31" s="2">
        <f>_xlfn.XLOOKUP(B31, 'Course Table'!A:A, 'Course Table'!D:D)</f>
        <v>8</v>
      </c>
      <c r="F31">
        <v>6</v>
      </c>
      <c r="G31">
        <f t="shared" si="0"/>
        <v>2</v>
      </c>
      <c r="H31">
        <v>2</v>
      </c>
    </row>
    <row r="32" spans="1:8">
      <c r="A32" s="1">
        <f t="shared" si="2"/>
        <v>46149</v>
      </c>
      <c r="B32">
        <v>13</v>
      </c>
      <c r="C32" s="2">
        <f>_xlfn.XLOOKUP(B32, 'Course Table'!A:A, 'Course Table'!B:B)</f>
        <v>3</v>
      </c>
      <c r="D32" s="2">
        <f>_xlfn.XLOOKUP(B32, 'Course Table'!A:A, 'Course Table'!C:C)</f>
        <v>159</v>
      </c>
      <c r="E32" s="2">
        <f>_xlfn.XLOOKUP(B32, 'Course Table'!A:A, 'Course Table'!D:D)</f>
        <v>18</v>
      </c>
      <c r="F32">
        <v>5</v>
      </c>
      <c r="G32">
        <f t="shared" si="0"/>
        <v>2</v>
      </c>
      <c r="H32">
        <v>3</v>
      </c>
    </row>
    <row r="33" spans="1:8">
      <c r="A33" s="1">
        <f t="shared" si="2"/>
        <v>46149</v>
      </c>
      <c r="B33">
        <v>14</v>
      </c>
      <c r="C33" s="2">
        <f>_xlfn.XLOOKUP(B33, 'Course Table'!A:A, 'Course Table'!B:B)</f>
        <v>5</v>
      </c>
      <c r="D33" s="2">
        <f>_xlfn.XLOOKUP(B33, 'Course Table'!A:A, 'Course Table'!C:C)</f>
        <v>494</v>
      </c>
      <c r="E33" s="2">
        <f>_xlfn.XLOOKUP(B33, 'Course Table'!A:A, 'Course Table'!D:D)</f>
        <v>2</v>
      </c>
      <c r="F33">
        <v>6</v>
      </c>
      <c r="G33">
        <f t="shared" si="0"/>
        <v>1</v>
      </c>
      <c r="H33">
        <v>1</v>
      </c>
    </row>
    <row r="34" spans="1:8">
      <c r="A34" s="1">
        <f t="shared" si="2"/>
        <v>46149</v>
      </c>
      <c r="B34">
        <v>15</v>
      </c>
      <c r="C34" s="2">
        <f>_xlfn.XLOOKUP(B34, 'Course Table'!A:A, 'Course Table'!B:B)</f>
        <v>4</v>
      </c>
      <c r="D34" s="2">
        <f>_xlfn.XLOOKUP(B34, 'Course Table'!A:A, 'Course Table'!C:C)</f>
        <v>277</v>
      </c>
      <c r="E34" s="2">
        <f>_xlfn.XLOOKUP(B34, 'Course Table'!A:A, 'Course Table'!D:D)</f>
        <v>14</v>
      </c>
      <c r="F34">
        <v>7</v>
      </c>
      <c r="G34">
        <f t="shared" ref="G34:G65" si="3">F34-C34</f>
        <v>3</v>
      </c>
      <c r="H34">
        <v>3</v>
      </c>
    </row>
    <row r="35" spans="1:8">
      <c r="A35" s="1">
        <f t="shared" si="2"/>
        <v>46149</v>
      </c>
      <c r="B35">
        <v>16</v>
      </c>
      <c r="C35" s="2">
        <f>_xlfn.XLOOKUP(B35, 'Course Table'!A:A, 'Course Table'!B:B)</f>
        <v>4</v>
      </c>
      <c r="D35" s="2">
        <f>_xlfn.XLOOKUP(B35, 'Course Table'!A:A, 'Course Table'!C:C)</f>
        <v>325</v>
      </c>
      <c r="E35" s="2">
        <f>_xlfn.XLOOKUP(B35, 'Course Table'!A:A, 'Course Table'!D:D)</f>
        <v>6</v>
      </c>
      <c r="F35">
        <v>5</v>
      </c>
      <c r="G35">
        <f t="shared" si="3"/>
        <v>1</v>
      </c>
      <c r="H35">
        <v>2</v>
      </c>
    </row>
    <row r="36" spans="1:8">
      <c r="A36" s="1">
        <f t="shared" si="2"/>
        <v>46149</v>
      </c>
      <c r="B36">
        <v>17</v>
      </c>
      <c r="C36" s="2">
        <f>_xlfn.XLOOKUP(B36, 'Course Table'!A:A, 'Course Table'!B:B)</f>
        <v>3</v>
      </c>
      <c r="D36" s="2">
        <f>_xlfn.XLOOKUP(B36, 'Course Table'!A:A, 'Course Table'!C:C)</f>
        <v>169</v>
      </c>
      <c r="E36" s="2">
        <f>_xlfn.XLOOKUP(B36, 'Course Table'!A:A, 'Course Table'!D:D)</f>
        <v>16</v>
      </c>
      <c r="F36">
        <v>3</v>
      </c>
      <c r="G36">
        <f t="shared" si="3"/>
        <v>0</v>
      </c>
      <c r="H36">
        <v>1</v>
      </c>
    </row>
    <row r="37" spans="1:8">
      <c r="A37" s="1">
        <f t="shared" si="2"/>
        <v>46149</v>
      </c>
      <c r="B37">
        <v>18</v>
      </c>
      <c r="C37" s="2">
        <f>_xlfn.XLOOKUP(B37, 'Course Table'!A:A, 'Course Table'!B:B)</f>
        <v>4</v>
      </c>
      <c r="D37" s="2">
        <f>_xlfn.XLOOKUP(B37, 'Course Table'!A:A, 'Course Table'!C:C)</f>
        <v>338</v>
      </c>
      <c r="E37" s="2">
        <f>_xlfn.XLOOKUP(B37, 'Course Table'!A:A, 'Course Table'!D:D)</f>
        <v>10</v>
      </c>
      <c r="F37">
        <v>5</v>
      </c>
      <c r="G37">
        <f t="shared" si="3"/>
        <v>1</v>
      </c>
      <c r="H37">
        <v>2</v>
      </c>
    </row>
    <row r="38" spans="1:8">
      <c r="A38" s="1">
        <v>46156</v>
      </c>
      <c r="B38">
        <v>1</v>
      </c>
      <c r="C38" s="2">
        <f>_xlfn.XLOOKUP(B38, 'Course Table'!A:A, 'Course Table'!B:B)</f>
        <v>5</v>
      </c>
      <c r="D38" s="2">
        <f>_xlfn.XLOOKUP(B38, 'Course Table'!A:A, 'Course Table'!C:C)</f>
        <v>446</v>
      </c>
      <c r="E38" s="2">
        <f>_xlfn.XLOOKUP(B38, 'Course Table'!A:A, 'Course Table'!D:D)</f>
        <v>11</v>
      </c>
      <c r="F38">
        <v>6</v>
      </c>
      <c r="G38">
        <f t="shared" si="3"/>
        <v>1</v>
      </c>
      <c r="H38">
        <v>3</v>
      </c>
    </row>
    <row r="39" spans="1:8">
      <c r="A39" s="1">
        <f>A38</f>
        <v>46156</v>
      </c>
      <c r="B39">
        <v>2</v>
      </c>
      <c r="C39" s="2">
        <f>_xlfn.XLOOKUP(B39, 'Course Table'!A:A, 'Course Table'!B:B)</f>
        <v>3</v>
      </c>
      <c r="D39" s="2">
        <f>_xlfn.XLOOKUP(B39, 'Course Table'!A:A, 'Course Table'!C:C)</f>
        <v>178</v>
      </c>
      <c r="E39" s="2">
        <f>_xlfn.XLOOKUP(B39, 'Course Table'!A:A, 'Course Table'!D:D)</f>
        <v>7</v>
      </c>
      <c r="F39">
        <v>4</v>
      </c>
      <c r="G39">
        <f t="shared" si="3"/>
        <v>1</v>
      </c>
      <c r="H39">
        <v>2</v>
      </c>
    </row>
    <row r="40" spans="1:8">
      <c r="A40" s="1">
        <f t="shared" ref="A40:A55" si="4">A39</f>
        <v>46156</v>
      </c>
      <c r="B40">
        <v>3</v>
      </c>
      <c r="C40" s="2">
        <f>_xlfn.XLOOKUP(B40, 'Course Table'!A:A, 'Course Table'!B:B)</f>
        <v>4</v>
      </c>
      <c r="D40" s="2">
        <f>_xlfn.XLOOKUP(B40, 'Course Table'!A:A, 'Course Table'!C:C)</f>
        <v>370</v>
      </c>
      <c r="E40" s="2">
        <f>_xlfn.XLOOKUP(B40, 'Course Table'!A:A, 'Course Table'!D:D)</f>
        <v>5</v>
      </c>
      <c r="F40">
        <v>6</v>
      </c>
      <c r="G40">
        <f t="shared" si="3"/>
        <v>2</v>
      </c>
      <c r="H40">
        <v>2</v>
      </c>
    </row>
    <row r="41" spans="1:8">
      <c r="A41" s="1">
        <f t="shared" si="4"/>
        <v>46156</v>
      </c>
      <c r="B41">
        <v>4</v>
      </c>
      <c r="C41" s="2">
        <f>_xlfn.XLOOKUP(B41, 'Course Table'!A:A, 'Course Table'!B:B)</f>
        <v>4</v>
      </c>
      <c r="D41" s="2">
        <f>_xlfn.XLOOKUP(B41, 'Course Table'!A:A, 'Course Table'!C:C)</f>
        <v>379</v>
      </c>
      <c r="E41" s="2">
        <f>_xlfn.XLOOKUP(B41, 'Course Table'!A:A, 'Course Table'!D:D)</f>
        <v>13</v>
      </c>
      <c r="F41">
        <v>6</v>
      </c>
      <c r="G41">
        <f t="shared" si="3"/>
        <v>2</v>
      </c>
      <c r="H41">
        <v>2</v>
      </c>
    </row>
    <row r="42" spans="1:8">
      <c r="A42" s="1">
        <f t="shared" si="4"/>
        <v>46156</v>
      </c>
      <c r="B42">
        <v>5</v>
      </c>
      <c r="C42" s="2">
        <f>_xlfn.XLOOKUP(B42, 'Course Table'!A:A, 'Course Table'!B:B)</f>
        <v>5</v>
      </c>
      <c r="D42" s="2">
        <f>_xlfn.XLOOKUP(B42, 'Course Table'!A:A, 'Course Table'!C:C)</f>
        <v>519</v>
      </c>
      <c r="E42" s="2">
        <f>_xlfn.XLOOKUP(B42, 'Course Table'!A:A, 'Course Table'!D:D)</f>
        <v>1</v>
      </c>
      <c r="F42">
        <v>7</v>
      </c>
      <c r="G42">
        <f t="shared" si="3"/>
        <v>2</v>
      </c>
      <c r="H42">
        <v>2</v>
      </c>
    </row>
    <row r="43" spans="1:8">
      <c r="A43" s="1">
        <f t="shared" si="4"/>
        <v>46156</v>
      </c>
      <c r="B43">
        <v>6</v>
      </c>
      <c r="C43" s="2">
        <f>_xlfn.XLOOKUP(B43, 'Course Table'!A:A, 'Course Table'!B:B)</f>
        <v>3</v>
      </c>
      <c r="D43" s="2">
        <f>_xlfn.XLOOKUP(B43, 'Course Table'!A:A, 'Course Table'!C:C)</f>
        <v>154</v>
      </c>
      <c r="E43" s="2">
        <f>_xlfn.XLOOKUP(B43, 'Course Table'!A:A, 'Course Table'!D:D)</f>
        <v>17</v>
      </c>
      <c r="F43">
        <v>5</v>
      </c>
      <c r="G43">
        <f t="shared" si="3"/>
        <v>2</v>
      </c>
      <c r="H43">
        <v>3</v>
      </c>
    </row>
    <row r="44" spans="1:8">
      <c r="A44" s="1">
        <f t="shared" si="4"/>
        <v>46156</v>
      </c>
      <c r="B44">
        <v>7</v>
      </c>
      <c r="C44" s="2">
        <f>_xlfn.XLOOKUP(B44, 'Course Table'!A:A, 'Course Table'!B:B)</f>
        <v>4</v>
      </c>
      <c r="D44" s="2">
        <f>_xlfn.XLOOKUP(B44, 'Course Table'!A:A, 'Course Table'!C:C)</f>
        <v>262</v>
      </c>
      <c r="E44" s="2">
        <f>_xlfn.XLOOKUP(B44, 'Course Table'!A:A, 'Course Table'!D:D)</f>
        <v>15</v>
      </c>
      <c r="F44">
        <v>4</v>
      </c>
      <c r="G44">
        <f t="shared" si="3"/>
        <v>0</v>
      </c>
      <c r="H44">
        <v>1</v>
      </c>
    </row>
    <row r="45" spans="1:8">
      <c r="A45" s="1">
        <f t="shared" si="4"/>
        <v>46156</v>
      </c>
      <c r="B45">
        <v>8</v>
      </c>
      <c r="C45" s="2">
        <f>_xlfn.XLOOKUP(B45, 'Course Table'!A:A, 'Course Table'!B:B)</f>
        <v>4</v>
      </c>
      <c r="D45" s="2">
        <f>_xlfn.XLOOKUP(B45, 'Course Table'!A:A, 'Course Table'!C:C)</f>
        <v>407</v>
      </c>
      <c r="E45" s="2">
        <f>_xlfn.XLOOKUP(B45, 'Course Table'!A:A, 'Course Table'!D:D)</f>
        <v>3</v>
      </c>
      <c r="F45">
        <v>5</v>
      </c>
      <c r="G45">
        <f t="shared" si="3"/>
        <v>1</v>
      </c>
      <c r="H45">
        <v>2</v>
      </c>
    </row>
    <row r="46" spans="1:8">
      <c r="A46" s="1">
        <f t="shared" si="4"/>
        <v>46156</v>
      </c>
      <c r="B46">
        <v>9</v>
      </c>
      <c r="C46" s="2">
        <f>_xlfn.XLOOKUP(B46, 'Course Table'!A:A, 'Course Table'!B:B)</f>
        <v>5</v>
      </c>
      <c r="D46" s="2">
        <f>_xlfn.XLOOKUP(B46, 'Course Table'!A:A, 'Course Table'!C:C)</f>
        <v>452</v>
      </c>
      <c r="E46" s="2">
        <f>_xlfn.XLOOKUP(B46, 'Course Table'!A:A, 'Course Table'!D:D)</f>
        <v>9</v>
      </c>
      <c r="F46">
        <v>6</v>
      </c>
      <c r="G46">
        <f t="shared" si="3"/>
        <v>1</v>
      </c>
      <c r="H46">
        <v>1</v>
      </c>
    </row>
    <row r="47" spans="1:8">
      <c r="A47" s="1">
        <f t="shared" si="4"/>
        <v>46156</v>
      </c>
      <c r="B47">
        <v>10</v>
      </c>
      <c r="C47" s="2">
        <f>_xlfn.XLOOKUP(B47, 'Course Table'!A:A, 'Course Table'!B:B)</f>
        <v>3</v>
      </c>
      <c r="D47" s="2">
        <f>_xlfn.XLOOKUP(B47, 'Course Table'!A:A, 'Course Table'!C:C)</f>
        <v>187</v>
      </c>
      <c r="E47" s="2">
        <f>_xlfn.XLOOKUP(B47, 'Course Table'!A:A, 'Course Table'!D:D)</f>
        <v>12</v>
      </c>
      <c r="F47">
        <v>6</v>
      </c>
      <c r="G47">
        <f t="shared" si="3"/>
        <v>3</v>
      </c>
      <c r="H47">
        <v>3</v>
      </c>
    </row>
    <row r="48" spans="1:8">
      <c r="A48" s="1">
        <f t="shared" si="4"/>
        <v>46156</v>
      </c>
      <c r="B48">
        <v>11</v>
      </c>
      <c r="C48" s="2">
        <f>_xlfn.XLOOKUP(B48, 'Course Table'!A:A, 'Course Table'!B:B)</f>
        <v>4</v>
      </c>
      <c r="D48" s="2">
        <f>_xlfn.XLOOKUP(B48, 'Course Table'!A:A, 'Course Table'!C:C)</f>
        <v>369</v>
      </c>
      <c r="E48" s="2">
        <f>_xlfn.XLOOKUP(B48, 'Course Table'!A:A, 'Course Table'!D:D)</f>
        <v>4</v>
      </c>
      <c r="F48">
        <v>6</v>
      </c>
      <c r="G48">
        <f t="shared" si="3"/>
        <v>2</v>
      </c>
      <c r="H48">
        <v>2</v>
      </c>
    </row>
    <row r="49" spans="1:8">
      <c r="A49" s="1">
        <f t="shared" si="4"/>
        <v>46156</v>
      </c>
      <c r="B49">
        <v>12</v>
      </c>
      <c r="C49" s="2">
        <f>_xlfn.XLOOKUP(B49, 'Course Table'!A:A, 'Course Table'!B:B)</f>
        <v>4</v>
      </c>
      <c r="D49" s="2">
        <f>_xlfn.XLOOKUP(B49, 'Course Table'!A:A, 'Course Table'!C:C)</f>
        <v>346</v>
      </c>
      <c r="E49" s="2">
        <f>_xlfn.XLOOKUP(B49, 'Course Table'!A:A, 'Course Table'!D:D)</f>
        <v>8</v>
      </c>
      <c r="F49">
        <v>7</v>
      </c>
      <c r="G49">
        <f t="shared" si="3"/>
        <v>3</v>
      </c>
      <c r="H49">
        <v>2</v>
      </c>
    </row>
    <row r="50" spans="1:8">
      <c r="A50" s="1">
        <f t="shared" si="4"/>
        <v>46156</v>
      </c>
      <c r="B50">
        <v>13</v>
      </c>
      <c r="C50" s="2">
        <f>_xlfn.XLOOKUP(B50, 'Course Table'!A:A, 'Course Table'!B:B)</f>
        <v>3</v>
      </c>
      <c r="D50" s="2">
        <f>_xlfn.XLOOKUP(B50, 'Course Table'!A:A, 'Course Table'!C:C)</f>
        <v>159</v>
      </c>
      <c r="E50" s="2">
        <f>_xlfn.XLOOKUP(B50, 'Course Table'!A:A, 'Course Table'!D:D)</f>
        <v>18</v>
      </c>
      <c r="F50">
        <v>5</v>
      </c>
      <c r="G50">
        <f t="shared" si="3"/>
        <v>2</v>
      </c>
      <c r="H50">
        <v>3</v>
      </c>
    </row>
    <row r="51" spans="1:8">
      <c r="A51" s="1">
        <f t="shared" si="4"/>
        <v>46156</v>
      </c>
      <c r="B51">
        <v>14</v>
      </c>
      <c r="C51" s="2">
        <f>_xlfn.XLOOKUP(B51, 'Course Table'!A:A, 'Course Table'!B:B)</f>
        <v>5</v>
      </c>
      <c r="D51" s="2">
        <f>_xlfn.XLOOKUP(B51, 'Course Table'!A:A, 'Course Table'!C:C)</f>
        <v>494</v>
      </c>
      <c r="E51" s="2">
        <f>_xlfn.XLOOKUP(B51, 'Course Table'!A:A, 'Course Table'!D:D)</f>
        <v>2</v>
      </c>
      <c r="F51">
        <v>6</v>
      </c>
      <c r="G51">
        <f t="shared" si="3"/>
        <v>1</v>
      </c>
      <c r="H51">
        <v>2</v>
      </c>
    </row>
    <row r="52" spans="1:8">
      <c r="A52" s="1">
        <f t="shared" si="4"/>
        <v>46156</v>
      </c>
      <c r="B52">
        <v>15</v>
      </c>
      <c r="C52" s="2">
        <f>_xlfn.XLOOKUP(B52, 'Course Table'!A:A, 'Course Table'!B:B)</f>
        <v>4</v>
      </c>
      <c r="D52" s="2">
        <f>_xlfn.XLOOKUP(B52, 'Course Table'!A:A, 'Course Table'!C:C)</f>
        <v>277</v>
      </c>
      <c r="E52" s="2">
        <f>_xlfn.XLOOKUP(B52, 'Course Table'!A:A, 'Course Table'!D:D)</f>
        <v>14</v>
      </c>
      <c r="F52">
        <v>6</v>
      </c>
      <c r="G52">
        <f t="shared" si="3"/>
        <v>2</v>
      </c>
      <c r="H52">
        <v>2</v>
      </c>
    </row>
    <row r="53" spans="1:8">
      <c r="A53" s="1">
        <f t="shared" si="4"/>
        <v>46156</v>
      </c>
      <c r="B53">
        <v>16</v>
      </c>
      <c r="C53" s="2">
        <f>_xlfn.XLOOKUP(B53, 'Course Table'!A:A, 'Course Table'!B:B)</f>
        <v>4</v>
      </c>
      <c r="D53" s="2">
        <f>_xlfn.XLOOKUP(B53, 'Course Table'!A:A, 'Course Table'!C:C)</f>
        <v>325</v>
      </c>
      <c r="E53" s="2">
        <f>_xlfn.XLOOKUP(B53, 'Course Table'!A:A, 'Course Table'!D:D)</f>
        <v>6</v>
      </c>
      <c r="F53">
        <v>4</v>
      </c>
      <c r="G53">
        <f t="shared" si="3"/>
        <v>0</v>
      </c>
      <c r="H53">
        <v>2</v>
      </c>
    </row>
    <row r="54" spans="1:8">
      <c r="A54" s="1">
        <f t="shared" si="4"/>
        <v>46156</v>
      </c>
      <c r="B54">
        <v>17</v>
      </c>
      <c r="C54" s="2">
        <f>_xlfn.XLOOKUP(B54, 'Course Table'!A:A, 'Course Table'!B:B)</f>
        <v>3</v>
      </c>
      <c r="D54" s="2">
        <f>_xlfn.XLOOKUP(B54, 'Course Table'!A:A, 'Course Table'!C:C)</f>
        <v>169</v>
      </c>
      <c r="E54" s="2">
        <f>_xlfn.XLOOKUP(B54, 'Course Table'!A:A, 'Course Table'!D:D)</f>
        <v>16</v>
      </c>
      <c r="F54">
        <v>5</v>
      </c>
      <c r="G54">
        <f t="shared" si="3"/>
        <v>2</v>
      </c>
      <c r="H54">
        <v>3</v>
      </c>
    </row>
    <row r="55" spans="1:8">
      <c r="A55" s="1">
        <f t="shared" si="4"/>
        <v>46156</v>
      </c>
      <c r="B55">
        <v>18</v>
      </c>
      <c r="C55" s="2">
        <f>_xlfn.XLOOKUP(B55, 'Course Table'!A:A, 'Course Table'!B:B)</f>
        <v>4</v>
      </c>
      <c r="D55" s="2">
        <f>_xlfn.XLOOKUP(B55, 'Course Table'!A:A, 'Course Table'!C:C)</f>
        <v>338</v>
      </c>
      <c r="E55" s="2">
        <f>_xlfn.XLOOKUP(B55, 'Course Table'!A:A, 'Course Table'!D:D)</f>
        <v>10</v>
      </c>
      <c r="F55">
        <v>6</v>
      </c>
      <c r="G55">
        <f t="shared" si="3"/>
        <v>2</v>
      </c>
      <c r="H55">
        <v>2</v>
      </c>
    </row>
    <row r="56" spans="1:8">
      <c r="A56" s="1">
        <v>46170</v>
      </c>
      <c r="B56">
        <v>1</v>
      </c>
      <c r="C56" s="2">
        <f>_xlfn.XLOOKUP(B56, 'Course Table'!A:A, 'Course Table'!B:B)</f>
        <v>5</v>
      </c>
      <c r="D56" s="2">
        <f>_xlfn.XLOOKUP(B56, 'Course Table'!A:A, 'Course Table'!C:C)</f>
        <v>446</v>
      </c>
      <c r="E56" s="2">
        <f>_xlfn.XLOOKUP(B56, 'Course Table'!A:A, 'Course Table'!D:D)</f>
        <v>11</v>
      </c>
      <c r="F56">
        <v>7</v>
      </c>
      <c r="G56">
        <f t="shared" si="3"/>
        <v>2</v>
      </c>
      <c r="H56">
        <v>3</v>
      </c>
    </row>
    <row r="57" spans="1:8">
      <c r="A57" s="1">
        <f>A56</f>
        <v>46170</v>
      </c>
      <c r="B57">
        <v>2</v>
      </c>
      <c r="C57" s="2">
        <f>_xlfn.XLOOKUP(B57, 'Course Table'!A:A, 'Course Table'!B:B)</f>
        <v>3</v>
      </c>
      <c r="D57" s="2">
        <f>_xlfn.XLOOKUP(B57, 'Course Table'!A:A, 'Course Table'!C:C)</f>
        <v>178</v>
      </c>
      <c r="E57" s="2">
        <f>_xlfn.XLOOKUP(B57, 'Course Table'!A:A, 'Course Table'!D:D)</f>
        <v>7</v>
      </c>
      <c r="F57">
        <v>4</v>
      </c>
      <c r="G57">
        <f t="shared" si="3"/>
        <v>1</v>
      </c>
      <c r="H57">
        <v>2</v>
      </c>
    </row>
    <row r="58" spans="1:8">
      <c r="A58" s="1">
        <f t="shared" ref="A58:A73" si="5">A57</f>
        <v>46170</v>
      </c>
      <c r="B58">
        <v>3</v>
      </c>
      <c r="C58" s="2">
        <f>_xlfn.XLOOKUP(B58, 'Course Table'!A:A, 'Course Table'!B:B)</f>
        <v>4</v>
      </c>
      <c r="D58" s="2">
        <f>_xlfn.XLOOKUP(B58, 'Course Table'!A:A, 'Course Table'!C:C)</f>
        <v>370</v>
      </c>
      <c r="E58" s="2">
        <f>_xlfn.XLOOKUP(B58, 'Course Table'!A:A, 'Course Table'!D:D)</f>
        <v>5</v>
      </c>
      <c r="F58">
        <v>5</v>
      </c>
      <c r="G58">
        <f t="shared" si="3"/>
        <v>1</v>
      </c>
      <c r="H58">
        <v>2</v>
      </c>
    </row>
    <row r="59" spans="1:8">
      <c r="A59" s="1">
        <f t="shared" si="5"/>
        <v>46170</v>
      </c>
      <c r="B59">
        <v>4</v>
      </c>
      <c r="C59" s="2">
        <f>_xlfn.XLOOKUP(B59, 'Course Table'!A:A, 'Course Table'!B:B)</f>
        <v>4</v>
      </c>
      <c r="D59" s="2">
        <f>_xlfn.XLOOKUP(B59, 'Course Table'!A:A, 'Course Table'!C:C)</f>
        <v>379</v>
      </c>
      <c r="E59" s="2">
        <f>_xlfn.XLOOKUP(B59, 'Course Table'!A:A, 'Course Table'!D:D)</f>
        <v>13</v>
      </c>
      <c r="F59">
        <v>5</v>
      </c>
      <c r="G59">
        <f t="shared" si="3"/>
        <v>1</v>
      </c>
      <c r="H59">
        <v>2</v>
      </c>
    </row>
    <row r="60" spans="1:8">
      <c r="A60" s="1">
        <f t="shared" si="5"/>
        <v>46170</v>
      </c>
      <c r="B60">
        <v>5</v>
      </c>
      <c r="C60" s="2">
        <f>_xlfn.XLOOKUP(B60, 'Course Table'!A:A, 'Course Table'!B:B)</f>
        <v>5</v>
      </c>
      <c r="D60" s="2">
        <f>_xlfn.XLOOKUP(B60, 'Course Table'!A:A, 'Course Table'!C:C)</f>
        <v>519</v>
      </c>
      <c r="E60" s="2">
        <f>_xlfn.XLOOKUP(B60, 'Course Table'!A:A, 'Course Table'!D:D)</f>
        <v>1</v>
      </c>
      <c r="F60">
        <v>5</v>
      </c>
      <c r="G60">
        <f t="shared" si="3"/>
        <v>0</v>
      </c>
      <c r="H60">
        <v>1</v>
      </c>
    </row>
    <row r="61" spans="1:8">
      <c r="A61" s="1">
        <f t="shared" si="5"/>
        <v>46170</v>
      </c>
      <c r="B61">
        <v>6</v>
      </c>
      <c r="C61" s="2">
        <f>_xlfn.XLOOKUP(B61, 'Course Table'!A:A, 'Course Table'!B:B)</f>
        <v>3</v>
      </c>
      <c r="D61" s="2">
        <f>_xlfn.XLOOKUP(B61, 'Course Table'!A:A, 'Course Table'!C:C)</f>
        <v>154</v>
      </c>
      <c r="E61" s="2">
        <f>_xlfn.XLOOKUP(B61, 'Course Table'!A:A, 'Course Table'!D:D)</f>
        <v>17</v>
      </c>
      <c r="F61">
        <v>5</v>
      </c>
      <c r="G61">
        <f t="shared" si="3"/>
        <v>2</v>
      </c>
      <c r="H61">
        <v>2</v>
      </c>
    </row>
    <row r="62" spans="1:8">
      <c r="A62" s="1">
        <f t="shared" si="5"/>
        <v>46170</v>
      </c>
      <c r="B62">
        <v>7</v>
      </c>
      <c r="C62" s="2">
        <f>_xlfn.XLOOKUP(B62, 'Course Table'!A:A, 'Course Table'!B:B)</f>
        <v>4</v>
      </c>
      <c r="D62" s="2">
        <f>_xlfn.XLOOKUP(B62, 'Course Table'!A:A, 'Course Table'!C:C)</f>
        <v>262</v>
      </c>
      <c r="E62" s="2">
        <f>_xlfn.XLOOKUP(B62, 'Course Table'!A:A, 'Course Table'!D:D)</f>
        <v>15</v>
      </c>
      <c r="F62">
        <v>6</v>
      </c>
      <c r="G62">
        <f t="shared" si="3"/>
        <v>2</v>
      </c>
      <c r="H62">
        <v>2</v>
      </c>
    </row>
    <row r="63" spans="1:8">
      <c r="A63" s="1">
        <f t="shared" si="5"/>
        <v>46170</v>
      </c>
      <c r="B63">
        <v>8</v>
      </c>
      <c r="C63" s="2">
        <f>_xlfn.XLOOKUP(B63, 'Course Table'!A:A, 'Course Table'!B:B)</f>
        <v>4</v>
      </c>
      <c r="D63" s="2">
        <f>_xlfn.XLOOKUP(B63, 'Course Table'!A:A, 'Course Table'!C:C)</f>
        <v>407</v>
      </c>
      <c r="E63" s="2">
        <f>_xlfn.XLOOKUP(B63, 'Course Table'!A:A, 'Course Table'!D:D)</f>
        <v>3</v>
      </c>
      <c r="F63">
        <v>4</v>
      </c>
      <c r="G63">
        <f t="shared" si="3"/>
        <v>0</v>
      </c>
      <c r="H63">
        <v>1</v>
      </c>
    </row>
    <row r="64" spans="1:8">
      <c r="A64" s="1">
        <f t="shared" si="5"/>
        <v>46170</v>
      </c>
      <c r="B64">
        <v>9</v>
      </c>
      <c r="C64" s="2">
        <f>_xlfn.XLOOKUP(B64, 'Course Table'!A:A, 'Course Table'!B:B)</f>
        <v>5</v>
      </c>
      <c r="D64" s="2">
        <f>_xlfn.XLOOKUP(B64, 'Course Table'!A:A, 'Course Table'!C:C)</f>
        <v>452</v>
      </c>
      <c r="E64" s="2">
        <f>_xlfn.XLOOKUP(B64, 'Course Table'!A:A, 'Course Table'!D:D)</f>
        <v>9</v>
      </c>
      <c r="F64">
        <v>6</v>
      </c>
      <c r="G64">
        <f t="shared" si="3"/>
        <v>1</v>
      </c>
      <c r="H64">
        <v>2</v>
      </c>
    </row>
    <row r="65" spans="1:8">
      <c r="A65" s="1">
        <f t="shared" si="5"/>
        <v>46170</v>
      </c>
      <c r="B65">
        <v>10</v>
      </c>
      <c r="C65" s="2">
        <f>_xlfn.XLOOKUP(B65, 'Course Table'!A:A, 'Course Table'!B:B)</f>
        <v>3</v>
      </c>
      <c r="D65" s="2">
        <f>_xlfn.XLOOKUP(B65, 'Course Table'!A:A, 'Course Table'!C:C)</f>
        <v>187</v>
      </c>
      <c r="E65" s="2">
        <f>_xlfn.XLOOKUP(B65, 'Course Table'!A:A, 'Course Table'!D:D)</f>
        <v>12</v>
      </c>
      <c r="F65">
        <v>3</v>
      </c>
      <c r="G65">
        <f t="shared" si="3"/>
        <v>0</v>
      </c>
      <c r="H65">
        <v>2</v>
      </c>
    </row>
    <row r="66" spans="1:8">
      <c r="A66" s="1">
        <f t="shared" si="5"/>
        <v>46170</v>
      </c>
      <c r="B66">
        <v>11</v>
      </c>
      <c r="C66" s="2">
        <f>_xlfn.XLOOKUP(B66, 'Course Table'!A:A, 'Course Table'!B:B)</f>
        <v>4</v>
      </c>
      <c r="D66" s="2">
        <f>_xlfn.XLOOKUP(B66, 'Course Table'!A:A, 'Course Table'!C:C)</f>
        <v>369</v>
      </c>
      <c r="E66" s="2">
        <f>_xlfn.XLOOKUP(B66, 'Course Table'!A:A, 'Course Table'!D:D)</f>
        <v>4</v>
      </c>
      <c r="F66">
        <v>4</v>
      </c>
      <c r="G66">
        <f t="shared" ref="G66:G97" si="6">F66-C66</f>
        <v>0</v>
      </c>
      <c r="H66">
        <v>1</v>
      </c>
    </row>
    <row r="67" spans="1:8">
      <c r="A67" s="1">
        <f t="shared" si="5"/>
        <v>46170</v>
      </c>
      <c r="B67">
        <v>12</v>
      </c>
      <c r="C67" s="2">
        <f>_xlfn.XLOOKUP(B67, 'Course Table'!A:A, 'Course Table'!B:B)</f>
        <v>4</v>
      </c>
      <c r="D67" s="2">
        <f>_xlfn.XLOOKUP(B67, 'Course Table'!A:A, 'Course Table'!C:C)</f>
        <v>346</v>
      </c>
      <c r="E67" s="2">
        <f>_xlfn.XLOOKUP(B67, 'Course Table'!A:A, 'Course Table'!D:D)</f>
        <v>8</v>
      </c>
      <c r="F67">
        <v>5</v>
      </c>
      <c r="G67">
        <f t="shared" si="6"/>
        <v>1</v>
      </c>
      <c r="H67">
        <v>2</v>
      </c>
    </row>
    <row r="68" spans="1:8">
      <c r="A68" s="1">
        <f t="shared" si="5"/>
        <v>46170</v>
      </c>
      <c r="B68">
        <v>13</v>
      </c>
      <c r="C68" s="2">
        <f>_xlfn.XLOOKUP(B68, 'Course Table'!A:A, 'Course Table'!B:B)</f>
        <v>3</v>
      </c>
      <c r="D68" s="2">
        <f>_xlfn.XLOOKUP(B68, 'Course Table'!A:A, 'Course Table'!C:C)</f>
        <v>159</v>
      </c>
      <c r="E68" s="2">
        <f>_xlfn.XLOOKUP(B68, 'Course Table'!A:A, 'Course Table'!D:D)</f>
        <v>18</v>
      </c>
      <c r="F68">
        <v>4</v>
      </c>
      <c r="G68">
        <f t="shared" si="6"/>
        <v>1</v>
      </c>
      <c r="H68">
        <v>3</v>
      </c>
    </row>
    <row r="69" spans="1:8">
      <c r="A69" s="1">
        <f t="shared" si="5"/>
        <v>46170</v>
      </c>
      <c r="B69">
        <v>14</v>
      </c>
      <c r="C69" s="2">
        <f>_xlfn.XLOOKUP(B69, 'Course Table'!A:A, 'Course Table'!B:B)</f>
        <v>5</v>
      </c>
      <c r="D69" s="2">
        <f>_xlfn.XLOOKUP(B69, 'Course Table'!A:A, 'Course Table'!C:C)</f>
        <v>494</v>
      </c>
      <c r="E69" s="2">
        <f>_xlfn.XLOOKUP(B69, 'Course Table'!A:A, 'Course Table'!D:D)</f>
        <v>2</v>
      </c>
      <c r="F69">
        <v>6</v>
      </c>
      <c r="G69">
        <f t="shared" si="6"/>
        <v>1</v>
      </c>
      <c r="H69">
        <v>2</v>
      </c>
    </row>
    <row r="70" spans="1:8">
      <c r="A70" s="1">
        <f t="shared" si="5"/>
        <v>46170</v>
      </c>
      <c r="B70">
        <v>15</v>
      </c>
      <c r="C70" s="2">
        <f>_xlfn.XLOOKUP(B70, 'Course Table'!A:A, 'Course Table'!B:B)</f>
        <v>4</v>
      </c>
      <c r="D70" s="2">
        <f>_xlfn.XLOOKUP(B70, 'Course Table'!A:A, 'Course Table'!C:C)</f>
        <v>277</v>
      </c>
      <c r="E70" s="2">
        <f>_xlfn.XLOOKUP(B70, 'Course Table'!A:A, 'Course Table'!D:D)</f>
        <v>14</v>
      </c>
      <c r="F70">
        <v>6</v>
      </c>
      <c r="G70">
        <f t="shared" si="6"/>
        <v>2</v>
      </c>
      <c r="H70">
        <v>2</v>
      </c>
    </row>
    <row r="71" spans="1:8">
      <c r="A71" s="1">
        <f t="shared" si="5"/>
        <v>46170</v>
      </c>
      <c r="B71">
        <v>16</v>
      </c>
      <c r="C71" s="2">
        <f>_xlfn.XLOOKUP(B71, 'Course Table'!A:A, 'Course Table'!B:B)</f>
        <v>4</v>
      </c>
      <c r="D71" s="2">
        <f>_xlfn.XLOOKUP(B71, 'Course Table'!A:A, 'Course Table'!C:C)</f>
        <v>325</v>
      </c>
      <c r="E71" s="2">
        <f>_xlfn.XLOOKUP(B71, 'Course Table'!A:A, 'Course Table'!D:D)</f>
        <v>6</v>
      </c>
      <c r="F71">
        <v>5</v>
      </c>
      <c r="G71">
        <f t="shared" si="6"/>
        <v>1</v>
      </c>
      <c r="H71">
        <v>2</v>
      </c>
    </row>
    <row r="72" spans="1:8">
      <c r="A72" s="1">
        <f t="shared" si="5"/>
        <v>46170</v>
      </c>
      <c r="B72">
        <v>17</v>
      </c>
      <c r="C72" s="2">
        <f>_xlfn.XLOOKUP(B72, 'Course Table'!A:A, 'Course Table'!B:B)</f>
        <v>3</v>
      </c>
      <c r="D72" s="2">
        <f>_xlfn.XLOOKUP(B72, 'Course Table'!A:A, 'Course Table'!C:C)</f>
        <v>169</v>
      </c>
      <c r="E72" s="2">
        <f>_xlfn.XLOOKUP(B72, 'Course Table'!A:A, 'Course Table'!D:D)</f>
        <v>16</v>
      </c>
      <c r="F72">
        <v>4</v>
      </c>
      <c r="G72">
        <f t="shared" si="6"/>
        <v>1</v>
      </c>
      <c r="H72">
        <v>2</v>
      </c>
    </row>
    <row r="73" spans="1:8">
      <c r="A73" s="1">
        <f t="shared" si="5"/>
        <v>46170</v>
      </c>
      <c r="B73">
        <v>18</v>
      </c>
      <c r="C73" s="2">
        <f>_xlfn.XLOOKUP(B73, 'Course Table'!A:A, 'Course Table'!B:B)</f>
        <v>4</v>
      </c>
      <c r="D73" s="2">
        <f>_xlfn.XLOOKUP(B73, 'Course Table'!A:A, 'Course Table'!C:C)</f>
        <v>338</v>
      </c>
      <c r="E73" s="2">
        <f>_xlfn.XLOOKUP(B73, 'Course Table'!A:A, 'Course Table'!D:D)</f>
        <v>10</v>
      </c>
      <c r="F73">
        <v>4</v>
      </c>
      <c r="G73">
        <f t="shared" si="6"/>
        <v>0</v>
      </c>
      <c r="H73">
        <v>1</v>
      </c>
    </row>
    <row r="74" spans="1:8">
      <c r="A74" s="1">
        <v>46176</v>
      </c>
      <c r="B74">
        <v>1</v>
      </c>
      <c r="C74" s="2">
        <f>_xlfn.XLOOKUP(B74, 'Course Table'!A:A, 'Course Table'!B:B)</f>
        <v>5</v>
      </c>
      <c r="D74" s="2">
        <f>_xlfn.XLOOKUP(B74, 'Course Table'!A:A, 'Course Table'!C:C)</f>
        <v>446</v>
      </c>
      <c r="E74" s="2">
        <f>_xlfn.XLOOKUP(B74, 'Course Table'!A:A, 'Course Table'!D:D)</f>
        <v>11</v>
      </c>
      <c r="F74">
        <v>5</v>
      </c>
      <c r="G74">
        <f t="shared" si="6"/>
        <v>0</v>
      </c>
      <c r="H74">
        <v>1</v>
      </c>
    </row>
    <row r="75" spans="1:8">
      <c r="A75" s="1">
        <f>A74</f>
        <v>46176</v>
      </c>
      <c r="B75">
        <v>2</v>
      </c>
      <c r="C75" s="2">
        <f>_xlfn.XLOOKUP(B75, 'Course Table'!A:A, 'Course Table'!B:B)</f>
        <v>3</v>
      </c>
      <c r="D75" s="2">
        <f>_xlfn.XLOOKUP(B75, 'Course Table'!A:A, 'Course Table'!C:C)</f>
        <v>178</v>
      </c>
      <c r="E75" s="2">
        <f>_xlfn.XLOOKUP(B75, 'Course Table'!A:A, 'Course Table'!D:D)</f>
        <v>7</v>
      </c>
      <c r="F75">
        <v>5</v>
      </c>
      <c r="G75">
        <f t="shared" si="6"/>
        <v>2</v>
      </c>
      <c r="H75">
        <v>3</v>
      </c>
    </row>
    <row r="76" spans="1:8">
      <c r="A76" s="1">
        <f t="shared" ref="A76:A91" si="7">A75</f>
        <v>46176</v>
      </c>
      <c r="B76">
        <v>3</v>
      </c>
      <c r="C76" s="2">
        <f>_xlfn.XLOOKUP(B76, 'Course Table'!A:A, 'Course Table'!B:B)</f>
        <v>4</v>
      </c>
      <c r="D76" s="2">
        <f>_xlfn.XLOOKUP(B76, 'Course Table'!A:A, 'Course Table'!C:C)</f>
        <v>370</v>
      </c>
      <c r="E76" s="2">
        <f>_xlfn.XLOOKUP(B76, 'Course Table'!A:A, 'Course Table'!D:D)</f>
        <v>5</v>
      </c>
      <c r="F76">
        <v>5</v>
      </c>
      <c r="G76">
        <f t="shared" si="6"/>
        <v>1</v>
      </c>
      <c r="H76">
        <v>2</v>
      </c>
    </row>
    <row r="77" spans="1:8">
      <c r="A77" s="1">
        <f t="shared" si="7"/>
        <v>46176</v>
      </c>
      <c r="B77">
        <v>4</v>
      </c>
      <c r="C77" s="2">
        <f>_xlfn.XLOOKUP(B77, 'Course Table'!A:A, 'Course Table'!B:B)</f>
        <v>4</v>
      </c>
      <c r="D77" s="2">
        <f>_xlfn.XLOOKUP(B77, 'Course Table'!A:A, 'Course Table'!C:C)</f>
        <v>379</v>
      </c>
      <c r="E77" s="2">
        <f>_xlfn.XLOOKUP(B77, 'Course Table'!A:A, 'Course Table'!D:D)</f>
        <v>13</v>
      </c>
      <c r="F77">
        <v>6</v>
      </c>
      <c r="G77">
        <f t="shared" si="6"/>
        <v>2</v>
      </c>
      <c r="H77">
        <v>2</v>
      </c>
    </row>
    <row r="78" spans="1:8">
      <c r="A78" s="1">
        <f t="shared" si="7"/>
        <v>46176</v>
      </c>
      <c r="B78">
        <v>5</v>
      </c>
      <c r="C78" s="2">
        <f>_xlfn.XLOOKUP(B78, 'Course Table'!A:A, 'Course Table'!B:B)</f>
        <v>5</v>
      </c>
      <c r="D78" s="2">
        <f>_xlfn.XLOOKUP(B78, 'Course Table'!A:A, 'Course Table'!C:C)</f>
        <v>519</v>
      </c>
      <c r="E78" s="2">
        <f>_xlfn.XLOOKUP(B78, 'Course Table'!A:A, 'Course Table'!D:D)</f>
        <v>1</v>
      </c>
      <c r="F78">
        <v>6</v>
      </c>
      <c r="G78">
        <f t="shared" si="6"/>
        <v>1</v>
      </c>
      <c r="H78">
        <v>2</v>
      </c>
    </row>
    <row r="79" spans="1:8">
      <c r="A79" s="1">
        <f t="shared" si="7"/>
        <v>46176</v>
      </c>
      <c r="B79">
        <v>6</v>
      </c>
      <c r="C79" s="2">
        <f>_xlfn.XLOOKUP(B79, 'Course Table'!A:A, 'Course Table'!B:B)</f>
        <v>3</v>
      </c>
      <c r="D79" s="2">
        <f>_xlfn.XLOOKUP(B79, 'Course Table'!A:A, 'Course Table'!C:C)</f>
        <v>154</v>
      </c>
      <c r="E79" s="2">
        <f>_xlfn.XLOOKUP(B79, 'Course Table'!A:A, 'Course Table'!D:D)</f>
        <v>17</v>
      </c>
      <c r="F79">
        <v>4</v>
      </c>
      <c r="G79">
        <f t="shared" si="6"/>
        <v>1</v>
      </c>
      <c r="H79">
        <v>2</v>
      </c>
    </row>
    <row r="80" spans="1:8">
      <c r="A80" s="1">
        <f t="shared" si="7"/>
        <v>46176</v>
      </c>
      <c r="B80">
        <v>7</v>
      </c>
      <c r="C80" s="2">
        <f>_xlfn.XLOOKUP(B80, 'Course Table'!A:A, 'Course Table'!B:B)</f>
        <v>4</v>
      </c>
      <c r="D80" s="2">
        <f>_xlfn.XLOOKUP(B80, 'Course Table'!A:A, 'Course Table'!C:C)</f>
        <v>262</v>
      </c>
      <c r="E80" s="2">
        <f>_xlfn.XLOOKUP(B80, 'Course Table'!A:A, 'Course Table'!D:D)</f>
        <v>15</v>
      </c>
      <c r="F80">
        <v>5</v>
      </c>
      <c r="G80">
        <f t="shared" si="6"/>
        <v>1</v>
      </c>
      <c r="H80">
        <v>2</v>
      </c>
    </row>
    <row r="81" spans="1:8">
      <c r="A81" s="1">
        <f t="shared" si="7"/>
        <v>46176</v>
      </c>
      <c r="B81">
        <v>8</v>
      </c>
      <c r="C81" s="2">
        <f>_xlfn.XLOOKUP(B81, 'Course Table'!A:A, 'Course Table'!B:B)</f>
        <v>4</v>
      </c>
      <c r="D81" s="2">
        <f>_xlfn.XLOOKUP(B81, 'Course Table'!A:A, 'Course Table'!C:C)</f>
        <v>407</v>
      </c>
      <c r="E81" s="2">
        <f>_xlfn.XLOOKUP(B81, 'Course Table'!A:A, 'Course Table'!D:D)</f>
        <v>3</v>
      </c>
      <c r="F81">
        <v>6</v>
      </c>
      <c r="G81">
        <f t="shared" si="6"/>
        <v>2</v>
      </c>
      <c r="H81">
        <v>2</v>
      </c>
    </row>
    <row r="82" spans="1:8">
      <c r="A82" s="1">
        <f t="shared" si="7"/>
        <v>46176</v>
      </c>
      <c r="B82">
        <v>9</v>
      </c>
      <c r="C82" s="2">
        <f>_xlfn.XLOOKUP(B82, 'Course Table'!A:A, 'Course Table'!B:B)</f>
        <v>5</v>
      </c>
      <c r="D82" s="2">
        <f>_xlfn.XLOOKUP(B82, 'Course Table'!A:A, 'Course Table'!C:C)</f>
        <v>452</v>
      </c>
      <c r="E82" s="2">
        <f>_xlfn.XLOOKUP(B82, 'Course Table'!A:A, 'Course Table'!D:D)</f>
        <v>9</v>
      </c>
      <c r="F82">
        <v>7</v>
      </c>
      <c r="G82">
        <f t="shared" si="6"/>
        <v>2</v>
      </c>
      <c r="H82">
        <v>3</v>
      </c>
    </row>
    <row r="83" spans="1:8">
      <c r="A83" s="1">
        <f t="shared" si="7"/>
        <v>46176</v>
      </c>
      <c r="B83">
        <v>10</v>
      </c>
      <c r="C83" s="2">
        <f>_xlfn.XLOOKUP(B83, 'Course Table'!A:A, 'Course Table'!B:B)</f>
        <v>3</v>
      </c>
      <c r="D83" s="2">
        <f>_xlfn.XLOOKUP(B83, 'Course Table'!A:A, 'Course Table'!C:C)</f>
        <v>187</v>
      </c>
      <c r="E83" s="2">
        <f>_xlfn.XLOOKUP(B83, 'Course Table'!A:A, 'Course Table'!D:D)</f>
        <v>12</v>
      </c>
      <c r="F83">
        <v>3</v>
      </c>
      <c r="G83">
        <f t="shared" si="6"/>
        <v>0</v>
      </c>
      <c r="H83">
        <v>1</v>
      </c>
    </row>
    <row r="84" spans="1:8">
      <c r="A84" s="1">
        <f t="shared" si="7"/>
        <v>46176</v>
      </c>
      <c r="B84">
        <v>11</v>
      </c>
      <c r="C84" s="2">
        <f>_xlfn.XLOOKUP(B84, 'Course Table'!A:A, 'Course Table'!B:B)</f>
        <v>4</v>
      </c>
      <c r="D84" s="2">
        <f>_xlfn.XLOOKUP(B84, 'Course Table'!A:A, 'Course Table'!C:C)</f>
        <v>369</v>
      </c>
      <c r="E84" s="2">
        <f>_xlfn.XLOOKUP(B84, 'Course Table'!A:A, 'Course Table'!D:D)</f>
        <v>4</v>
      </c>
      <c r="F84">
        <v>6</v>
      </c>
      <c r="G84">
        <f t="shared" si="6"/>
        <v>2</v>
      </c>
      <c r="H84">
        <v>2</v>
      </c>
    </row>
    <row r="85" spans="1:8">
      <c r="A85" s="1">
        <f t="shared" si="7"/>
        <v>46176</v>
      </c>
      <c r="B85">
        <v>12</v>
      </c>
      <c r="C85" s="2">
        <f>_xlfn.XLOOKUP(B85, 'Course Table'!A:A, 'Course Table'!B:B)</f>
        <v>4</v>
      </c>
      <c r="D85" s="2">
        <f>_xlfn.XLOOKUP(B85, 'Course Table'!A:A, 'Course Table'!C:C)</f>
        <v>346</v>
      </c>
      <c r="E85" s="2">
        <f>_xlfn.XLOOKUP(B85, 'Course Table'!A:A, 'Course Table'!D:D)</f>
        <v>8</v>
      </c>
      <c r="F85">
        <v>5</v>
      </c>
      <c r="G85">
        <f t="shared" si="6"/>
        <v>1</v>
      </c>
      <c r="H85">
        <v>2</v>
      </c>
    </row>
    <row r="86" spans="1:8">
      <c r="A86" s="1">
        <f t="shared" si="7"/>
        <v>46176</v>
      </c>
      <c r="B86">
        <v>13</v>
      </c>
      <c r="C86" s="2">
        <f>_xlfn.XLOOKUP(B86, 'Course Table'!A:A, 'Course Table'!B:B)</f>
        <v>3</v>
      </c>
      <c r="D86" s="2">
        <f>_xlfn.XLOOKUP(B86, 'Course Table'!A:A, 'Course Table'!C:C)</f>
        <v>159</v>
      </c>
      <c r="E86" s="2">
        <f>_xlfn.XLOOKUP(B86, 'Course Table'!A:A, 'Course Table'!D:D)</f>
        <v>18</v>
      </c>
      <c r="F86">
        <v>4</v>
      </c>
      <c r="G86">
        <f t="shared" si="6"/>
        <v>1</v>
      </c>
      <c r="H86">
        <v>2</v>
      </c>
    </row>
    <row r="87" spans="1:8">
      <c r="A87" s="1">
        <f t="shared" si="7"/>
        <v>46176</v>
      </c>
      <c r="B87">
        <v>14</v>
      </c>
      <c r="C87" s="2">
        <f>_xlfn.XLOOKUP(B87, 'Course Table'!A:A, 'Course Table'!B:B)</f>
        <v>5</v>
      </c>
      <c r="D87" s="2">
        <f>_xlfn.XLOOKUP(B87, 'Course Table'!A:A, 'Course Table'!C:C)</f>
        <v>494</v>
      </c>
      <c r="E87" s="2">
        <f>_xlfn.XLOOKUP(B87, 'Course Table'!A:A, 'Course Table'!D:D)</f>
        <v>2</v>
      </c>
      <c r="F87">
        <v>7</v>
      </c>
      <c r="G87">
        <f t="shared" si="6"/>
        <v>2</v>
      </c>
      <c r="H87">
        <v>3</v>
      </c>
    </row>
    <row r="88" spans="1:8">
      <c r="A88" s="1">
        <f t="shared" si="7"/>
        <v>46176</v>
      </c>
      <c r="B88">
        <v>15</v>
      </c>
      <c r="C88" s="2">
        <f>_xlfn.XLOOKUP(B88, 'Course Table'!A:A, 'Course Table'!B:B)</f>
        <v>4</v>
      </c>
      <c r="D88" s="2">
        <f>_xlfn.XLOOKUP(B88, 'Course Table'!A:A, 'Course Table'!C:C)</f>
        <v>277</v>
      </c>
      <c r="E88" s="2">
        <f>_xlfn.XLOOKUP(B88, 'Course Table'!A:A, 'Course Table'!D:D)</f>
        <v>14</v>
      </c>
      <c r="F88">
        <v>6</v>
      </c>
      <c r="G88">
        <f t="shared" si="6"/>
        <v>2</v>
      </c>
      <c r="H88">
        <v>3</v>
      </c>
    </row>
    <row r="89" spans="1:8">
      <c r="A89" s="1">
        <f t="shared" si="7"/>
        <v>46176</v>
      </c>
      <c r="B89">
        <v>16</v>
      </c>
      <c r="C89" s="2">
        <f>_xlfn.XLOOKUP(B89, 'Course Table'!A:A, 'Course Table'!B:B)</f>
        <v>4</v>
      </c>
      <c r="D89" s="2">
        <f>_xlfn.XLOOKUP(B89, 'Course Table'!A:A, 'Course Table'!C:C)</f>
        <v>325</v>
      </c>
      <c r="E89" s="2">
        <f>_xlfn.XLOOKUP(B89, 'Course Table'!A:A, 'Course Table'!D:D)</f>
        <v>6</v>
      </c>
      <c r="F89">
        <v>5</v>
      </c>
      <c r="G89">
        <f t="shared" si="6"/>
        <v>1</v>
      </c>
      <c r="H89">
        <v>2</v>
      </c>
    </row>
    <row r="90" spans="1:8">
      <c r="A90" s="1">
        <f t="shared" si="7"/>
        <v>46176</v>
      </c>
      <c r="B90">
        <v>17</v>
      </c>
      <c r="C90" s="2">
        <f>_xlfn.XLOOKUP(B90, 'Course Table'!A:A, 'Course Table'!B:B)</f>
        <v>3</v>
      </c>
      <c r="D90" s="2">
        <f>_xlfn.XLOOKUP(B90, 'Course Table'!A:A, 'Course Table'!C:C)</f>
        <v>169</v>
      </c>
      <c r="E90" s="2">
        <f>_xlfn.XLOOKUP(B90, 'Course Table'!A:A, 'Course Table'!D:D)</f>
        <v>16</v>
      </c>
      <c r="F90">
        <v>3</v>
      </c>
      <c r="G90">
        <f t="shared" si="6"/>
        <v>0</v>
      </c>
      <c r="H90">
        <v>1</v>
      </c>
    </row>
    <row r="91" spans="1:8">
      <c r="A91" s="1">
        <f t="shared" si="7"/>
        <v>46176</v>
      </c>
      <c r="B91">
        <v>18</v>
      </c>
      <c r="C91" s="2">
        <f>_xlfn.XLOOKUP(B91, 'Course Table'!A:A, 'Course Table'!B:B)</f>
        <v>4</v>
      </c>
      <c r="D91" s="2">
        <f>_xlfn.XLOOKUP(B91, 'Course Table'!A:A, 'Course Table'!C:C)</f>
        <v>338</v>
      </c>
      <c r="E91" s="2">
        <f>_xlfn.XLOOKUP(B91, 'Course Table'!A:A, 'Course Table'!D:D)</f>
        <v>10</v>
      </c>
      <c r="F91">
        <v>5</v>
      </c>
      <c r="G91">
        <f t="shared" si="6"/>
        <v>1</v>
      </c>
      <c r="H91">
        <v>2</v>
      </c>
    </row>
  </sheetData>
  <dataValidations count="1">
    <dataValidation type="list" allowBlank="1" showInputMessage="1" showErrorMessage="1" errorTitle="Error" error="You have not selected a valid number in the dropdown" promptTitle="Hole number" prompt="Please select the hole number" sqref="B1:B1048576" xr:uid="{BA998946-9D66-4DA9-8536-A83FF869A99B}">
      <formula1>"1,2,3,4,5,6,7,8,9,10,11,12,13,14,15,16,17,18"</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6AABD-CB89-47D3-86D5-7012E2A402D1}">
  <dimension ref="A1:D19"/>
  <sheetViews>
    <sheetView workbookViewId="0">
      <selection activeCell="A2" sqref="A2"/>
    </sheetView>
  </sheetViews>
  <sheetFormatPr defaultRowHeight="15"/>
  <cols>
    <col min="4" max="4" width="14.28515625" bestFit="1" customWidth="1"/>
  </cols>
  <sheetData>
    <row r="1" spans="1:4">
      <c r="A1" t="s">
        <v>6</v>
      </c>
      <c r="B1" t="s">
        <v>8</v>
      </c>
      <c r="C1" t="s">
        <v>12</v>
      </c>
      <c r="D1" t="s">
        <v>13</v>
      </c>
    </row>
    <row r="2" spans="1:4">
      <c r="A2">
        <v>1</v>
      </c>
      <c r="B2">
        <v>5</v>
      </c>
      <c r="C2">
        <v>446</v>
      </c>
      <c r="D2">
        <v>11</v>
      </c>
    </row>
    <row r="3" spans="1:4">
      <c r="A3">
        <v>2</v>
      </c>
      <c r="B3">
        <v>3</v>
      </c>
      <c r="C3">
        <v>178</v>
      </c>
      <c r="D3">
        <v>7</v>
      </c>
    </row>
    <row r="4" spans="1:4">
      <c r="A4">
        <v>3</v>
      </c>
      <c r="B4">
        <v>4</v>
      </c>
      <c r="C4">
        <v>370</v>
      </c>
      <c r="D4">
        <v>5</v>
      </c>
    </row>
    <row r="5" spans="1:4">
      <c r="A5">
        <v>4</v>
      </c>
      <c r="B5">
        <v>4</v>
      </c>
      <c r="C5">
        <v>379</v>
      </c>
      <c r="D5">
        <v>13</v>
      </c>
    </row>
    <row r="6" spans="1:4">
      <c r="A6">
        <v>5</v>
      </c>
      <c r="B6">
        <v>5</v>
      </c>
      <c r="C6">
        <v>519</v>
      </c>
      <c r="D6">
        <v>1</v>
      </c>
    </row>
    <row r="7" spans="1:4">
      <c r="A7">
        <v>6</v>
      </c>
      <c r="B7">
        <v>3</v>
      </c>
      <c r="C7">
        <v>154</v>
      </c>
      <c r="D7">
        <v>17</v>
      </c>
    </row>
    <row r="8" spans="1:4">
      <c r="A8">
        <v>7</v>
      </c>
      <c r="B8">
        <v>4</v>
      </c>
      <c r="C8">
        <v>262</v>
      </c>
      <c r="D8">
        <v>15</v>
      </c>
    </row>
    <row r="9" spans="1:4">
      <c r="A9">
        <v>8</v>
      </c>
      <c r="B9">
        <v>4</v>
      </c>
      <c r="C9">
        <v>407</v>
      </c>
      <c r="D9">
        <v>3</v>
      </c>
    </row>
    <row r="10" spans="1:4">
      <c r="A10">
        <v>9</v>
      </c>
      <c r="B10">
        <v>5</v>
      </c>
      <c r="C10">
        <v>452</v>
      </c>
      <c r="D10">
        <v>9</v>
      </c>
    </row>
    <row r="11" spans="1:4">
      <c r="A11">
        <v>10</v>
      </c>
      <c r="B11">
        <v>3</v>
      </c>
      <c r="C11">
        <v>187</v>
      </c>
      <c r="D11">
        <v>12</v>
      </c>
    </row>
    <row r="12" spans="1:4">
      <c r="A12">
        <v>11</v>
      </c>
      <c r="B12">
        <v>4</v>
      </c>
      <c r="C12">
        <v>369</v>
      </c>
      <c r="D12">
        <v>4</v>
      </c>
    </row>
    <row r="13" spans="1:4">
      <c r="A13">
        <v>12</v>
      </c>
      <c r="B13">
        <v>4</v>
      </c>
      <c r="C13">
        <v>346</v>
      </c>
      <c r="D13">
        <v>8</v>
      </c>
    </row>
    <row r="14" spans="1:4">
      <c r="A14">
        <v>13</v>
      </c>
      <c r="B14">
        <v>3</v>
      </c>
      <c r="C14">
        <v>159</v>
      </c>
      <c r="D14">
        <v>18</v>
      </c>
    </row>
    <row r="15" spans="1:4">
      <c r="A15">
        <v>14</v>
      </c>
      <c r="B15">
        <v>5</v>
      </c>
      <c r="C15">
        <v>494</v>
      </c>
      <c r="D15">
        <v>2</v>
      </c>
    </row>
    <row r="16" spans="1:4">
      <c r="A16">
        <v>15</v>
      </c>
      <c r="B16">
        <v>4</v>
      </c>
      <c r="C16">
        <v>277</v>
      </c>
      <c r="D16">
        <v>14</v>
      </c>
    </row>
    <row r="17" spans="1:4">
      <c r="A17">
        <v>16</v>
      </c>
      <c r="B17">
        <v>4</v>
      </c>
      <c r="C17">
        <v>325</v>
      </c>
      <c r="D17">
        <v>6</v>
      </c>
    </row>
    <row r="18" spans="1:4">
      <c r="A18">
        <v>17</v>
      </c>
      <c r="B18">
        <v>3</v>
      </c>
      <c r="C18">
        <v>169</v>
      </c>
      <c r="D18">
        <v>16</v>
      </c>
    </row>
    <row r="19" spans="1:4">
      <c r="A19">
        <v>18</v>
      </c>
      <c r="B19">
        <v>4</v>
      </c>
      <c r="C19">
        <v>338</v>
      </c>
      <c r="D19">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2026-06-13T14:33:08Z</dcterms:created>
  <dcterms:modified xsi:type="dcterms:W3CDTF">2026-06-13T16:36:00Z</dcterms:modified>
  <cp:category/>
  <cp:contentStatus/>
</cp:coreProperties>
</file>